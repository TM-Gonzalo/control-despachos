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gonpro/Downloads/"/>
    </mc:Choice>
  </mc:AlternateContent>
  <xr:revisionPtr revIDLastSave="0" documentId="13_ncr:1_{6426A0E3-0122-F24E-A8F3-9728720A2D76}" xr6:coauthVersionLast="47" xr6:coauthVersionMax="47" xr10:uidLastSave="{00000000-0000-0000-0000-000000000000}"/>
  <bookViews>
    <workbookView xWindow="4420" yWindow="1660" windowWidth="22360" windowHeight="16960" activeTab="1" xr2:uid="{99A9BFE7-FD37-0744-96E5-9F0BD06A67C7}"/>
  </bookViews>
  <sheets>
    <sheet name="Analisis" sheetId="1" r:id="rId1"/>
    <sheet name="GD 1972-1960-1959" sheetId="4" r:id="rId2"/>
  </sheets>
  <definedNames>
    <definedName name="_xlnm._FilterDatabase" localSheetId="1" hidden="1">'GD 1972-1960-1959'!$R$1:$S$52</definedName>
    <definedName name="_xlnm.Print_Area" localSheetId="0">Analisis!$A$20:$C$42</definedName>
  </definedNames>
  <calcPr calcId="181029"/>
  <pivotCaches>
    <pivotCache cacheId="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4" l="1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2" i="4"/>
  <c r="U1" i="4"/>
  <c r="D1" i="4"/>
  <c r="E1" i="4"/>
  <c r="I1" i="4"/>
  <c r="L1" i="4"/>
</calcChain>
</file>

<file path=xl/sharedStrings.xml><?xml version="1.0" encoding="utf-8"?>
<sst xmlns="http://schemas.openxmlformats.org/spreadsheetml/2006/main" count="372" uniqueCount="176">
  <si>
    <t>1994</t>
  </si>
  <si>
    <t>2026-03-19</t>
  </si>
  <si>
    <t>1993</t>
  </si>
  <si>
    <t>2026-03-18</t>
  </si>
  <si>
    <t>1992</t>
  </si>
  <si>
    <t>1991</t>
  </si>
  <si>
    <t>1990</t>
  </si>
  <si>
    <t>2026-03-17</t>
  </si>
  <si>
    <t>1989</t>
  </si>
  <si>
    <t>1987</t>
  </si>
  <si>
    <t>2026-03-16</t>
  </si>
  <si>
    <t>1981</t>
  </si>
  <si>
    <t>2026-03-11</t>
  </si>
  <si>
    <t>1974</t>
  </si>
  <si>
    <t>2026-03-10</t>
  </si>
  <si>
    <t>1959</t>
  </si>
  <si>
    <t>2026-03-05</t>
  </si>
  <si>
    <t>BSALE</t>
  </si>
  <si>
    <t>APP CONTROL</t>
  </si>
  <si>
    <t>Hes</t>
  </si>
  <si>
    <t>Sigues</t>
  </si>
  <si>
    <t>Hes y OC</t>
  </si>
  <si>
    <t>Insero Tecnasic en Patio</t>
  </si>
  <si>
    <t>OC</t>
  </si>
  <si>
    <t>Visualizó un archivo, ejecutó un comando</t>
  </si>
  <si>
    <t>Claro. Analizando el Excel:</t>
  </si>
  <si>
    <t>GDs en Bsale que NO están en la APP:</t>
  </si>
  <si>
    <t>GD Bsale</t>
  </si>
  <si>
    <t>Fecha</t>
  </si>
  <si>
    <t>Motivo</t>
  </si>
  <si>
    <t>"Hes" — referencia HES, no está ingresada</t>
  </si>
  <si>
    <t>"Sigues" — pendiente de ingresar</t>
  </si>
  <si>
    <t>"Hes y OC" — tiene HES y OC, falta ingresar</t>
  </si>
  <si>
    <t>"Insero Tecnasic en Patio" — caso especial</t>
  </si>
  <si>
    <t>"Hes y OC"</t>
  </si>
  <si>
    <r>
      <t>GDs que SÍ están en ambos (coinciden):</t>
    </r>
    <r>
      <rPr>
        <sz val="11"/>
        <color theme="1"/>
        <rFont val="Montserrat"/>
        <family val="2"/>
      </rPr>
      <t xml:space="preserve"> 1959, 1974, 1981, 1987, 1989, 1990, 1991, 1992, 1993, 1994</t>
    </r>
  </si>
  <si>
    <r>
      <t>Resumen:</t>
    </r>
    <r>
      <rPr>
        <sz val="11"/>
        <color theme="1"/>
        <rFont val="Montserrat"/>
        <family val="2"/>
      </rPr>
      <t xml:space="preserve"> hay </t>
    </r>
    <r>
      <rPr>
        <b/>
        <sz val="11"/>
        <color theme="1"/>
        <rFont val="Montserrat"/>
        <family val="2"/>
      </rPr>
      <t>6 GDs en Bsale</t>
    </r>
    <r>
      <rPr>
        <sz val="11"/>
        <color theme="1"/>
        <rFont val="Montserrat"/>
        <family val="2"/>
      </rPr>
      <t xml:space="preserve"> que no están en la APP. Los motivos son:</t>
    </r>
  </si>
  <si>
    <r>
      <t xml:space="preserve">Algunas tienen referencia </t>
    </r>
    <r>
      <rPr>
        <b/>
        <sz val="11"/>
        <color theme="1"/>
        <rFont val="Montserrat"/>
        <family val="2"/>
      </rPr>
      <t>HES</t>
    </r>
    <r>
      <rPr>
        <sz val="11"/>
        <color theme="1"/>
        <rFont val="Montserrat"/>
        <family val="2"/>
      </rPr>
      <t xml:space="preserve"> (no OC) — el sistema no las puede importar automáticamente</t>
    </r>
  </si>
  <si>
    <t>La 1982 tiene un caso especial (ingreso en patio Tecnasic)</t>
  </si>
  <si>
    <t>La 1959 sí aparece en la APP pero no en Bsale según el Excel</t>
  </si>
  <si>
    <t>¿Quieres que ajustemos algo en la app para manejar los casos HES, o es información para carga manual? 👍</t>
  </si>
  <si>
    <t>ITEM</t>
  </si>
  <si>
    <t>VALOR UNITARIO ($) ​</t>
  </si>
  <si>
    <t>CANTIDAD</t>
  </si>
  <si>
    <t>SUBTOTAL ($) ​</t>
  </si>
  <si>
    <t>Golilla Plana 1/2 NR ​</t>
  </si>
  <si>
    <t>Golilla Presión 1/2 NR ​</t>
  </si>
  <si>
    <t>Perno Hexagonal Grado 2 1/2 x 1.1/2 NR ​</t>
  </si>
  <si>
    <t>Tuerca Hexagonal Grado 2 1/2 NR ​</t>
  </si>
  <si>
    <t>Perno Hexagonal Grado 2 1/2X1 Pulg ​</t>
  </si>
  <si>
    <t>GD</t>
  </si>
  <si>
    <t>Tuerca Hexagonal Grado 2 3/8 NR</t>
  </si>
  <si>
    <t>Tuerca Hexagonal Grado 2 5/8 NR</t>
  </si>
  <si>
    <t>Golilla Plana 1/4 NR</t>
  </si>
  <si>
    <t>Golilla Plana 3/8 NR</t>
  </si>
  <si>
    <t>Golilla Plana 5/8 NR</t>
  </si>
  <si>
    <t>Golilla Presión 1/4 NR</t>
  </si>
  <si>
    <t>Golilla Presión 3/4 NR</t>
  </si>
  <si>
    <t>Golilla Presión 3/8 NR</t>
  </si>
  <si>
    <t>Golilla Presión 5/8 NR</t>
  </si>
  <si>
    <t>Golilla Plana 3/4 NR</t>
  </si>
  <si>
    <t>Tuerca Hexagonal Grado 2 1/2 NR</t>
  </si>
  <si>
    <t>Golilla Plana 1/2 NR</t>
  </si>
  <si>
    <t>Golilla Presión 1/2 NR</t>
  </si>
  <si>
    <t>Perno Hexagonal Grado 2 1/2 x 1.1/2 NR</t>
  </si>
  <si>
    <t>Perno Hexagonal Grado 2 1/2 x 2 NR</t>
  </si>
  <si>
    <t>Perno Hexagonal Grado 2 1/4 x 1 NR</t>
  </si>
  <si>
    <t>Perno Hexagonal A325 3/4 x 2.1/2 NR</t>
  </si>
  <si>
    <t>Perno Hexagonal Grado 2 3/8 x 1.1/2 NR</t>
  </si>
  <si>
    <t>Perno Hexagonal Grado 2 3/8 x 1 NR</t>
  </si>
  <si>
    <t>Perno Hexagonal Grado 2 3/8 X 3/4" NR</t>
  </si>
  <si>
    <t>Perno Hexagonal Grado 2 5/8 x 4 NR</t>
  </si>
  <si>
    <t>Tuerca Hexagonal Grado 2 1/4 NR</t>
  </si>
  <si>
    <t>Tuerca Hexagonal Grado 2 3/4 NR</t>
  </si>
  <si>
    <t>DESCRIPCION</t>
  </si>
  <si>
    <t>UNIDAD</t>
  </si>
  <si>
    <t>PRECIO UNITARIO</t>
  </si>
  <si>
    <t>TOTAL</t>
  </si>
  <si>
    <t>TUERCA HEX G-2 1/2"</t>
  </si>
  <si>
    <t>UN</t>
  </si>
  <si>
    <t>GOLILLA PLANA CAL 1/2" ZIN</t>
  </si>
  <si>
    <t>GOLILLA PRESION 1/2 PULG</t>
  </si>
  <si>
    <t>PERNO HEX G2 UNC 1/2-1 1/2</t>
  </si>
  <si>
    <t>GOLILLA PRESION 1/2"</t>
  </si>
  <si>
    <t>PERNO HEX G2 UNC 1/2 X2 1 1/2</t>
  </si>
  <si>
    <t>PERNO HEX 1/4 X1</t>
  </si>
  <si>
    <t>PERNO HEX. A325 3/4" X 2.1/2"</t>
  </si>
  <si>
    <t>PERNO HEX G2 UNC/BSW 3/8-16 1/2</t>
  </si>
  <si>
    <t>PERNO HEX G2 3/8 X1</t>
  </si>
  <si>
    <t>PERNO HEX A 449 T1 UNC TM 3/8 X3/4</t>
  </si>
  <si>
    <t>PERNO HEX G 2 UN 3/8 X1.1/2</t>
  </si>
  <si>
    <t>PERNO HEX G2 5/8X4</t>
  </si>
  <si>
    <t>TUERCA HEX 1/2" CORRIENTE</t>
  </si>
  <si>
    <t>TUERCA HEX 1/4</t>
  </si>
  <si>
    <t>TUERCA HEXAGONAL CORRIENTE UNC 3/4</t>
  </si>
  <si>
    <t>TUERCA HEG CORRIENTE 3/8"</t>
  </si>
  <si>
    <t>TUERCA HEX CORRIENTE 3/8"</t>
  </si>
  <si>
    <t>TUERCA HEX 5/8 CORRIENTE</t>
  </si>
  <si>
    <t>TUERCA HEX CORRIENTE 5/8</t>
  </si>
  <si>
    <t>GOLILLA PLANA CORR ZN 1/4"</t>
  </si>
  <si>
    <t>GOLILLA PLANA CALIB ZN 3/8"</t>
  </si>
  <si>
    <t>GOLILLA PLANA CALIB 5/8"</t>
  </si>
  <si>
    <t>GOLILLA PRESION ZN 1/4"</t>
  </si>
  <si>
    <t>GOLILLA PRESION 3/4"</t>
  </si>
  <si>
    <t>GOLILLA PRESION 3/8"</t>
  </si>
  <si>
    <t>GOLILLA PRESION 5/8"</t>
  </si>
  <si>
    <t>GOLILLA PLANA CAL 1/2" NR</t>
  </si>
  <si>
    <t>GOLILLA PLANA CALIB 3/4"</t>
  </si>
  <si>
    <t>GOLILLA PLANA CAL 3/8" ZIN</t>
  </si>
  <si>
    <t>PERNO HEX G-2 UNC 1/2 X 1</t>
  </si>
  <si>
    <t>PERNO HEX G2 UNC 1/2"X 1 1/2</t>
  </si>
  <si>
    <t>GOLILLA PLANA CALIB ZN 1/2"</t>
  </si>
  <si>
    <t>TUERCA HEX H2 1/2</t>
  </si>
  <si>
    <t>PERNO HEX G-2 UNC ZN 1/2X11/2</t>
  </si>
  <si>
    <t>TUERCA HEX G-2 UNC ZN 1/2"</t>
  </si>
  <si>
    <t>PERNO HEX G-2 UNC 1/2 x 11/2 ZINCADO</t>
  </si>
  <si>
    <t>Etiquetas de fila</t>
  </si>
  <si>
    <t>Total general</t>
  </si>
  <si>
    <t>Promedio de PRECIO UNITARIO</t>
  </si>
  <si>
    <t>DescGD</t>
  </si>
  <si>
    <t>Suma de TOTAL</t>
  </si>
  <si>
    <t>TUERCA HEX G-2 1/2" (SYC-487)</t>
  </si>
  <si>
    <t>616 pend.</t>
  </si>
  <si>
    <t>GOLILLA PLANA CAL 1/2" ZIN (SYC-5528)</t>
  </si>
  <si>
    <t>GOLILLA PRESION 1/2 PULG (SYC-5552)</t>
  </si>
  <si>
    <t>PERNO HEX G2 UNC 1/2-1 1/2 (SYC-8181)</t>
  </si>
  <si>
    <t>120 pend.</t>
  </si>
  <si>
    <t>GOLILLA PRESION 1/2" (SYC-283)</t>
  </si>
  <si>
    <t>PERNO HEX G2 UNC 1/2 X2 1 1/2 (SYC-8202)</t>
  </si>
  <si>
    <t>20 pend.</t>
  </si>
  <si>
    <t>PERNO HEX 1/4 X1 (SYC-8289)</t>
  </si>
  <si>
    <t>40 pend.</t>
  </si>
  <si>
    <t>PERNO HEX. A325 3/4" X 2.1/2" (SYC-14281)</t>
  </si>
  <si>
    <t>80 pend.</t>
  </si>
  <si>
    <t>PERNO HEX G2 UNC/BSW 3/8-16 1/2 (SYC-8246)</t>
  </si>
  <si>
    <t>140 pend.</t>
  </si>
  <si>
    <t>PERNO HEX G2 3/8 X1 (SYC-8246)</t>
  </si>
  <si>
    <t>208 pend.</t>
  </si>
  <si>
    <t>PERNO HEX A449 T1 UNC TM 3/8 X3/4 (SYC-8246)</t>
  </si>
  <si>
    <t>60 pend.</t>
  </si>
  <si>
    <t>PERNO HEX G2 UN 3/8 X1.1/2 (SYC-8246)</t>
  </si>
  <si>
    <t>PERNO HEX G2 5/8X4 (SYC-8314)</t>
  </si>
  <si>
    <t>56 pend.</t>
  </si>
  <si>
    <t>TUERCA HEX 1/2" CORRIENTE (SYC-12166)</t>
  </si>
  <si>
    <t>1.520 pend.</t>
  </si>
  <si>
    <t>TUERCA HEX 1/4 (SYC-12176)</t>
  </si>
  <si>
    <t>TUERCA HEXAGONAL CORRIENTE UNC 3/4 (SYC-12169)</t>
  </si>
  <si>
    <t>TUERCA HEX CORRIENTE 3/8" (SYC-491)</t>
  </si>
  <si>
    <t>180 pend.</t>
  </si>
  <si>
    <t>348 pend.</t>
  </si>
  <si>
    <t>TUERCA HEX 5/8 CORRIENTE (SYC-12175)</t>
  </si>
  <si>
    <t>TUERCA HEX CORRIENTE 5/8 (SYC-12178)</t>
  </si>
  <si>
    <t>156 pend.</t>
  </si>
  <si>
    <t>GOLILLA PLANA CORR ZN 1/4" (SYC-271)</t>
  </si>
  <si>
    <t>GOLILLA PLANA CALIB ZN 3/8" (SYC-266)</t>
  </si>
  <si>
    <t>GOLILLA PLANA CALIB 5/8" (SYC-263)</t>
  </si>
  <si>
    <t>1.400 pend.</t>
  </si>
  <si>
    <t>GOLILLA PRESION ZN 1/4" (SYC-288)</t>
  </si>
  <si>
    <t>GOLILLA PRESION 3/4" (SYC-284)</t>
  </si>
  <si>
    <t>GOLILLA PRESION 3/8" (SYC-285)</t>
  </si>
  <si>
    <t>320 pend.</t>
  </si>
  <si>
    <t>GOLILLA PRESION 5/8" (SYC-286)</t>
  </si>
  <si>
    <t>GOLILLA PLANA CAL 1/2" NR (SYC-5528)</t>
  </si>
  <si>
    <t>GOLILLA PLANA CALIB 3/4" (SYC-261)</t>
  </si>
  <si>
    <t>GOLILLA PLANA CAL 3/8" ZIN (SYC-5530)</t>
  </si>
  <si>
    <t>PERNO HEX G-2 UNC 1/2 X 1 (SYC-8167)</t>
  </si>
  <si>
    <t>268 pend.</t>
  </si>
  <si>
    <t>PERNO HEX G2 UNC 1/2" X 1 1/2 (SYC-8202)</t>
  </si>
  <si>
    <t>4 pend.</t>
  </si>
  <si>
    <t>GOLILLA PLANA CALIB ZN 1/2" (SYC-264)</t>
  </si>
  <si>
    <t>GOLILLA PRESION 1/2" (SYC-287)</t>
  </si>
  <si>
    <t>TUERCA HEX H2 1/2 (SYC-12182)</t>
  </si>
  <si>
    <t>PERNO HEX G-2 UNC ZN 1/2X11/2 (SYC-8179)</t>
  </si>
  <si>
    <t>280 pend.</t>
  </si>
  <si>
    <t>TUERCA HEX G-2 UNC ZN 1/2" (SYC-490)</t>
  </si>
  <si>
    <t>PERNO HEX G-2 UNC 1/2 x 11/2 ZINCADO (SYC-8167)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</si>
</sst>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&quot;$&quot;\-#,##0"/>
    <numFmt numFmtId="169" formatCode="#,##0_ ;[Red]\-#,##0\ "/>
  </numFmts>
  <fonts count="12">
    <font>
      <sz val="11"/>
      <color theme="1"/>
      <name val="Montserrat"/>
      <family val="2"/>
    </font>
    <font>
      <b/>
      <sz val="11"/>
      <color theme="1"/>
      <name val="Montserrat"/>
      <family val="2"/>
    </font>
    <font>
      <sz val="16"/>
      <color rgb="FF39404A"/>
      <name val="Arial"/>
      <family val="2"/>
    </font>
    <font>
      <sz val="14"/>
      <color rgb="FF39404A"/>
      <name val="Arial"/>
      <family val="2"/>
    </font>
    <font>
      <sz val="11"/>
      <color theme="1"/>
      <name val="Montserrat Regular"/>
    </font>
    <font>
      <b/>
      <sz val="11"/>
      <color theme="1"/>
      <name val="Montserrat Regular"/>
    </font>
    <font>
      <sz val="11"/>
      <color rgb="FF030712"/>
      <name val="Montserrat Regular"/>
    </font>
    <font>
      <sz val="11"/>
      <color rgb="FF030712"/>
      <name val="Montserrat Regular"/>
    </font>
    <font>
      <b/>
      <sz val="11"/>
      <color theme="0"/>
      <name val="Montserrat Regular"/>
    </font>
    <font>
      <sz val="11"/>
      <color theme="1"/>
      <name val="Courier New"/>
      <family val="1"/>
    </font>
    <font>
      <sz val="11"/>
      <color theme="1"/>
      <name val="Courier New"/>
      <family val="1"/>
    </font>
    <font>
      <sz val="10"/>
      <color theme="1"/>
      <name val="Courier New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2" fillId="0" borderId="0" xfId="0" applyFont="1" applyAlignment="1"/>
    <xf numFmtId="16" fontId="2" fillId="0" borderId="0" xfId="0" applyNumberFormat="1" applyFont="1" applyAlignment="1"/>
    <xf numFmtId="0" fontId="2" fillId="2" borderId="0" xfId="0" applyFont="1" applyFill="1" applyAlignment="1"/>
    <xf numFmtId="16" fontId="2" fillId="2" borderId="0" xfId="0" applyNumberFormat="1" applyFont="1" applyFill="1" applyAlignment="1"/>
    <xf numFmtId="0" fontId="0" fillId="3" borderId="0" xfId="0" applyFill="1"/>
    <xf numFmtId="0" fontId="1" fillId="0" borderId="0" xfId="0" applyFont="1"/>
    <xf numFmtId="1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9" fontId="4" fillId="0" borderId="0" xfId="0" applyNumberFormat="1" applyFont="1"/>
    <xf numFmtId="169" fontId="6" fillId="0" borderId="0" xfId="0" applyNumberFormat="1" applyFont="1"/>
    <xf numFmtId="169" fontId="7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69" fontId="0" fillId="0" borderId="0" xfId="0" applyNumberFormat="1"/>
    <xf numFmtId="169" fontId="8" fillId="4" borderId="0" xfId="0" applyNumberFormat="1" applyFont="1" applyFill="1"/>
    <xf numFmtId="0" fontId="9" fillId="0" borderId="0" xfId="0" applyFont="1"/>
    <xf numFmtId="0" fontId="10" fillId="0" borderId="0" xfId="0" applyFont="1"/>
    <xf numFmtId="6" fontId="10" fillId="0" borderId="0" xfId="0" applyNumberFormat="1" applyFont="1"/>
    <xf numFmtId="9" fontId="11" fillId="0" borderId="0" xfId="0" applyNumberFormat="1" applyFont="1"/>
    <xf numFmtId="3" fontId="1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nzalo Sepúlveda Iturra" refreshedDate="46100.802646759257" createdVersion="8" refreshedVersion="8" minRefreshableVersion="3" recordCount="51" xr:uid="{138BA58F-E635-8A4B-9CCC-DD7C7FFEFA7D}">
  <cacheSource type="worksheet">
    <worksheetSource ref="H2:L53" sheet="GD 1972-1960-1959"/>
  </cacheSource>
  <cacheFields count="5">
    <cacheField name="DescGD" numFmtId="0">
      <sharedItems count="25">
        <s v="Tuerca Hexagonal Grado 2 1/2 NR"/>
        <s v="Golilla Plana 1/2 NR"/>
        <s v="Golilla Presión 1/2 NR"/>
        <s v="Perno Hexagonal Grado 2 1/2 x 1.1/2 NR"/>
        <s v="Perno Hexagonal Grado 2 1/2 x 2 NR"/>
        <s v="Perno Hexagonal Grado 2 1/4 x 1 NR"/>
        <s v="Perno Hexagonal A325 3/4 x 2.1/2 NR"/>
        <s v="Perno Hexagonal Grado 2 3/8 x 1.1/2 NR"/>
        <s v="Perno Hexagonal Grado 2 3/8 x 1 NR"/>
        <s v="Perno Hexagonal Grado 2 3/8 X 3/4&quot; NR"/>
        <s v="Perno Hexagonal Grado 2 5/8 x 4 NR"/>
        <s v="Tuerca Hexagonal Grado 2 1/2 NR ​"/>
        <s v="Tuerca Hexagonal Grado 2 1/4 NR"/>
        <s v="Tuerca Hexagonal Grado 2 3/4 NR"/>
        <s v="Tuerca Hexagonal Grado 2 3/8 NR"/>
        <s v="Tuerca Hexagonal Grado 2 5/8 NR"/>
        <s v="Golilla Plana 1/4 NR"/>
        <s v="Golilla Plana 3/8 NR"/>
        <s v="Golilla Plana 5/8 NR"/>
        <s v="Golilla Presión 1/4 NR"/>
        <s v="Golilla Presión 3/4 NR"/>
        <s v="Golilla Presión 3/8 NR"/>
        <s v="Golilla Presión 5/8 NR"/>
        <s v="Golilla Plana 3/4 NR"/>
        <s v="Perno Hexagonal Grado 2 1/2X1 Pulg ​"/>
      </sharedItems>
    </cacheField>
    <cacheField name="CANTIDAD" numFmtId="0">
      <sharedItems containsSemiMixedTypes="0" containsString="0" containsNumber="1" containsInteger="1" minValue="4" maxValue="1520"/>
    </cacheField>
    <cacheField name="UNIDAD" numFmtId="0">
      <sharedItems/>
    </cacheField>
    <cacheField name="PRECIO UNITARIO" numFmtId="169">
      <sharedItems containsSemiMixedTypes="0" containsString="0" containsNumber="1" containsInteger="1" minValue="6" maxValue="1008"/>
    </cacheField>
    <cacheField name="TOTAL" numFmtId="169">
      <sharedItems containsSemiMixedTypes="0" containsString="0" containsNumber="1" containsInteger="1" minValue="100" maxValue="813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n v="616"/>
    <s v="UN"/>
    <n v="45"/>
    <n v="27720"/>
  </r>
  <r>
    <x v="1"/>
    <n v="616"/>
    <s v="UN"/>
    <n v="25"/>
    <n v="15400"/>
  </r>
  <r>
    <x v="2"/>
    <n v="616"/>
    <s v="UN"/>
    <n v="26"/>
    <n v="16016"/>
  </r>
  <r>
    <x v="3"/>
    <n v="120"/>
    <s v="UN"/>
    <n v="132"/>
    <n v="15840"/>
  </r>
  <r>
    <x v="0"/>
    <n v="120"/>
    <s v="UN"/>
    <n v="45"/>
    <n v="5400"/>
  </r>
  <r>
    <x v="1"/>
    <n v="120"/>
    <s v="UN"/>
    <n v="25"/>
    <n v="3000"/>
  </r>
  <r>
    <x v="2"/>
    <n v="120"/>
    <s v="UN"/>
    <n v="26"/>
    <n v="3120"/>
  </r>
  <r>
    <x v="4"/>
    <n v="20"/>
    <s v="UN"/>
    <n v="171"/>
    <n v="3420"/>
  </r>
  <r>
    <x v="1"/>
    <n v="20"/>
    <s v="UN"/>
    <n v="25"/>
    <n v="500"/>
  </r>
  <r>
    <x v="2"/>
    <n v="20"/>
    <s v="UN"/>
    <n v="26"/>
    <n v="520"/>
  </r>
  <r>
    <x v="0"/>
    <n v="20"/>
    <s v="UN"/>
    <n v="45"/>
    <n v="900"/>
  </r>
  <r>
    <x v="5"/>
    <n v="40"/>
    <s v="UN"/>
    <n v="18"/>
    <n v="720"/>
  </r>
  <r>
    <x v="6"/>
    <n v="80"/>
    <s v="UN"/>
    <n v="1008"/>
    <n v="80640"/>
  </r>
  <r>
    <x v="7"/>
    <n v="140"/>
    <s v="UN"/>
    <n v="68"/>
    <n v="9520"/>
  </r>
  <r>
    <x v="8"/>
    <n v="208"/>
    <s v="UN"/>
    <n v="54"/>
    <n v="11232"/>
  </r>
  <r>
    <x v="9"/>
    <n v="60"/>
    <s v="UN"/>
    <n v="58"/>
    <n v="3480"/>
  </r>
  <r>
    <x v="7"/>
    <n v="120"/>
    <s v="UN"/>
    <n v="68"/>
    <n v="8160"/>
  </r>
  <r>
    <x v="10"/>
    <n v="56"/>
    <s v="UN"/>
    <n v="445"/>
    <n v="24920"/>
  </r>
  <r>
    <x v="11"/>
    <n v="1520"/>
    <s v="UN"/>
    <n v="42"/>
    <n v="63840"/>
  </r>
  <r>
    <x v="12"/>
    <n v="40"/>
    <s v="UN"/>
    <n v="38"/>
    <n v="1520"/>
  </r>
  <r>
    <x v="13"/>
    <n v="80"/>
    <s v="UN"/>
    <n v="251"/>
    <n v="20080"/>
  </r>
  <r>
    <x v="14"/>
    <n v="180"/>
    <s v="UN"/>
    <n v="22"/>
    <n v="3960"/>
  </r>
  <r>
    <x v="14"/>
    <n v="348"/>
    <s v="UN"/>
    <n v="22"/>
    <n v="7656"/>
  </r>
  <r>
    <x v="15"/>
    <n v="56"/>
    <s v="UN"/>
    <n v="88"/>
    <n v="4928"/>
  </r>
  <r>
    <x v="15"/>
    <n v="156"/>
    <s v="UN"/>
    <n v="88"/>
    <n v="13728"/>
  </r>
  <r>
    <x v="16"/>
    <n v="40"/>
    <s v="UN"/>
    <n v="8"/>
    <n v="320"/>
  </r>
  <r>
    <x v="17"/>
    <n v="208"/>
    <s v="UN"/>
    <n v="11"/>
    <n v="2288"/>
  </r>
  <r>
    <x v="18"/>
    <n v="56"/>
    <s v="UN"/>
    <n v="32"/>
    <n v="1792"/>
  </r>
  <r>
    <x v="2"/>
    <n v="120"/>
    <s v="UN"/>
    <n v="26"/>
    <n v="3120"/>
  </r>
  <r>
    <x v="2"/>
    <n v="1400"/>
    <s v="UN"/>
    <n v="26"/>
    <n v="36400"/>
  </r>
  <r>
    <x v="19"/>
    <n v="40"/>
    <s v="UN"/>
    <n v="6"/>
    <n v="240"/>
  </r>
  <r>
    <x v="20"/>
    <n v="80"/>
    <s v="UN"/>
    <n v="66"/>
    <n v="5280"/>
  </r>
  <r>
    <x v="21"/>
    <n v="320"/>
    <s v="UN"/>
    <n v="9"/>
    <n v="2880"/>
  </r>
  <r>
    <x v="21"/>
    <n v="208"/>
    <s v="UN"/>
    <n v="9"/>
    <n v="1872"/>
  </r>
  <r>
    <x v="22"/>
    <n v="156"/>
    <s v="UN"/>
    <n v="21"/>
    <n v="3276"/>
  </r>
  <r>
    <x v="22"/>
    <n v="56"/>
    <s v="UN"/>
    <n v="21"/>
    <n v="1176"/>
  </r>
  <r>
    <x v="1"/>
    <n v="120"/>
    <s v="UN"/>
    <n v="25"/>
    <n v="3000"/>
  </r>
  <r>
    <x v="1"/>
    <n v="156"/>
    <s v="UN"/>
    <n v="25"/>
    <n v="3900"/>
  </r>
  <r>
    <x v="23"/>
    <n v="80"/>
    <s v="UN"/>
    <n v="60"/>
    <n v="4800"/>
  </r>
  <r>
    <x v="17"/>
    <n v="320"/>
    <s v="UN"/>
    <n v="11"/>
    <n v="3520"/>
  </r>
  <r>
    <x v="18"/>
    <n v="156"/>
    <s v="UN"/>
    <n v="32"/>
    <n v="4992"/>
  </r>
  <r>
    <x v="24"/>
    <n v="268"/>
    <s v="UN"/>
    <n v="103"/>
    <n v="27604"/>
  </r>
  <r>
    <x v="3"/>
    <n v="4"/>
    <s v="UN"/>
    <n v="132"/>
    <n v="528"/>
  </r>
  <r>
    <x v="1"/>
    <n v="4"/>
    <s v="UN"/>
    <n v="25"/>
    <n v="100"/>
  </r>
  <r>
    <x v="2"/>
    <n v="4"/>
    <s v="UN"/>
    <n v="26"/>
    <n v="104"/>
  </r>
  <r>
    <x v="0"/>
    <n v="4"/>
    <s v="UN"/>
    <n v="45"/>
    <n v="180"/>
  </r>
  <r>
    <x v="3"/>
    <n v="280"/>
    <s v="UN"/>
    <n v="132"/>
    <n v="36960"/>
  </r>
  <r>
    <x v="1"/>
    <n v="280"/>
    <s v="UN"/>
    <n v="25"/>
    <n v="7000"/>
  </r>
  <r>
    <x v="2"/>
    <n v="280"/>
    <s v="UN"/>
    <n v="26"/>
    <n v="7280"/>
  </r>
  <r>
    <x v="0"/>
    <n v="280"/>
    <s v="UN"/>
    <n v="45"/>
    <n v="12600"/>
  </r>
  <r>
    <x v="3"/>
    <n v="616"/>
    <s v="UN"/>
    <n v="132"/>
    <n v="813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0A5F9-78EF-1341-B260-AD3F4D885203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:P28" firstHeaderRow="0" firstDataRow="1" firstDataCol="1"/>
  <pivotFields count="5">
    <pivotField axis="axisRow" showAll="0" sortType="ascending">
      <items count="26">
        <item x="1"/>
        <item x="16"/>
        <item x="23"/>
        <item x="17"/>
        <item x="18"/>
        <item x="2"/>
        <item x="19"/>
        <item x="20"/>
        <item x="21"/>
        <item x="22"/>
        <item x="6"/>
        <item x="3"/>
        <item x="4"/>
        <item x="24"/>
        <item x="5"/>
        <item x="8"/>
        <item x="7"/>
        <item x="9"/>
        <item x="10"/>
        <item x="0"/>
        <item x="11"/>
        <item x="12"/>
        <item x="13"/>
        <item x="14"/>
        <item x="1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dataField="1" numFmtId="169" showAll="0"/>
    <pivotField dataField="1" numFmtId="169" showAll="0"/>
  </pivotFields>
  <rowFields count="1">
    <field x="0"/>
  </rowFields>
  <rowItems count="26">
    <i>
      <x v="6"/>
    </i>
    <i>
      <x v="1"/>
    </i>
    <i>
      <x v="8"/>
    </i>
    <i>
      <x v="3"/>
    </i>
    <i>
      <x v="14"/>
    </i>
    <i>
      <x v="9"/>
    </i>
    <i>
      <x v="23"/>
    </i>
    <i>
      <x/>
    </i>
    <i>
      <x v="5"/>
    </i>
    <i>
      <x v="4"/>
    </i>
    <i>
      <x v="21"/>
    </i>
    <i>
      <x v="20"/>
    </i>
    <i>
      <x v="19"/>
    </i>
    <i>
      <x v="15"/>
    </i>
    <i>
      <x v="17"/>
    </i>
    <i>
      <x v="2"/>
    </i>
    <i>
      <x v="7"/>
    </i>
    <i>
      <x v="16"/>
    </i>
    <i>
      <x v="24"/>
    </i>
    <i>
      <x v="13"/>
    </i>
    <i>
      <x v="11"/>
    </i>
    <i>
      <x v="12"/>
    </i>
    <i>
      <x v="22"/>
    </i>
    <i>
      <x v="18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TOTAL" fld="4" baseField="0" baseItem="0" numFmtId="169"/>
    <dataField name="Promedio de PRECIO UNITARIO" fld="3" subtotal="average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336FC-B16E-1145-8366-74818DDA9E59}">
  <sheetPr>
    <pageSetUpPr fitToPage="1"/>
  </sheetPr>
  <dimension ref="A1:J42"/>
  <sheetViews>
    <sheetView topLeftCell="B1" workbookViewId="0">
      <selection activeCell="M1" sqref="M1"/>
    </sheetView>
  </sheetViews>
  <sheetFormatPr baseColWidth="10" defaultRowHeight="15"/>
  <cols>
    <col min="1" max="1" width="64.28515625" customWidth="1"/>
    <col min="3" max="3" width="35.140625" bestFit="1" customWidth="1"/>
    <col min="10" max="10" width="19.7109375" bestFit="1" customWidth="1"/>
  </cols>
  <sheetData>
    <row r="1" spans="1:10">
      <c r="A1" t="s">
        <v>23</v>
      </c>
      <c r="C1" t="s">
        <v>17</v>
      </c>
      <c r="F1" t="s">
        <v>18</v>
      </c>
    </row>
    <row r="2" spans="1:10" ht="20">
      <c r="C2" s="4">
        <v>1815</v>
      </c>
      <c r="D2" s="5">
        <v>46034</v>
      </c>
      <c r="J2" t="s">
        <v>19</v>
      </c>
    </row>
    <row r="3" spans="1:10" ht="20">
      <c r="C3" s="4">
        <v>1905</v>
      </c>
      <c r="D3" s="5">
        <v>46062</v>
      </c>
      <c r="J3" t="s">
        <v>20</v>
      </c>
    </row>
    <row r="4" spans="1:10" ht="20">
      <c r="C4" s="4"/>
      <c r="D4" s="4"/>
      <c r="F4" s="6" t="s">
        <v>15</v>
      </c>
      <c r="G4" s="6" t="s">
        <v>16</v>
      </c>
      <c r="H4" s="6">
        <v>14</v>
      </c>
    </row>
    <row r="5" spans="1:10" ht="20">
      <c r="C5" s="4">
        <v>1966</v>
      </c>
      <c r="D5" s="5">
        <v>46087</v>
      </c>
      <c r="J5" t="s">
        <v>21</v>
      </c>
    </row>
    <row r="6" spans="1:10" ht="20">
      <c r="C6" s="2">
        <v>1974</v>
      </c>
      <c r="D6" s="3">
        <v>46091</v>
      </c>
      <c r="F6" t="s">
        <v>13</v>
      </c>
      <c r="G6" t="s">
        <v>14</v>
      </c>
      <c r="H6">
        <v>9</v>
      </c>
    </row>
    <row r="7" spans="1:10" ht="20">
      <c r="C7" s="2">
        <v>1981</v>
      </c>
      <c r="D7" s="3">
        <v>46092</v>
      </c>
      <c r="F7" t="s">
        <v>11</v>
      </c>
      <c r="G7" t="s">
        <v>12</v>
      </c>
      <c r="H7">
        <v>8</v>
      </c>
    </row>
    <row r="8" spans="1:10" ht="20">
      <c r="C8" s="4">
        <v>1982</v>
      </c>
      <c r="D8" s="5">
        <v>46092</v>
      </c>
      <c r="J8" t="s">
        <v>22</v>
      </c>
    </row>
    <row r="9" spans="1:10" ht="20">
      <c r="C9" s="4">
        <v>1983</v>
      </c>
      <c r="D9" s="5">
        <v>46093</v>
      </c>
      <c r="J9" t="s">
        <v>21</v>
      </c>
    </row>
    <row r="10" spans="1:10" ht="20">
      <c r="C10" s="4">
        <v>1986</v>
      </c>
      <c r="D10" s="5">
        <v>46097</v>
      </c>
      <c r="J10" t="s">
        <v>21</v>
      </c>
    </row>
    <row r="11" spans="1:10" ht="20">
      <c r="C11" s="2">
        <v>1987</v>
      </c>
      <c r="D11" s="3">
        <v>46097</v>
      </c>
      <c r="F11" t="s">
        <v>9</v>
      </c>
      <c r="G11" t="s">
        <v>10</v>
      </c>
      <c r="H11">
        <v>3</v>
      </c>
    </row>
    <row r="12" spans="1:10" ht="20">
      <c r="C12" s="2">
        <v>1989</v>
      </c>
      <c r="D12" s="3">
        <v>46098</v>
      </c>
      <c r="F12" t="s">
        <v>8</v>
      </c>
      <c r="G12" t="s">
        <v>7</v>
      </c>
      <c r="H12">
        <v>2</v>
      </c>
    </row>
    <row r="13" spans="1:10" ht="20">
      <c r="C13" s="2">
        <v>1990</v>
      </c>
      <c r="D13" s="3">
        <v>46098</v>
      </c>
      <c r="F13" t="s">
        <v>6</v>
      </c>
      <c r="G13" t="s">
        <v>7</v>
      </c>
      <c r="H13">
        <v>2</v>
      </c>
    </row>
    <row r="14" spans="1:10" ht="20">
      <c r="C14" s="2">
        <v>1991</v>
      </c>
      <c r="D14" s="3">
        <v>46099</v>
      </c>
      <c r="F14" t="s">
        <v>5</v>
      </c>
      <c r="G14" t="s">
        <v>3</v>
      </c>
      <c r="H14">
        <v>1</v>
      </c>
    </row>
    <row r="15" spans="1:10" ht="20">
      <c r="C15" s="2">
        <v>1992</v>
      </c>
      <c r="D15" s="3">
        <v>46099</v>
      </c>
      <c r="F15" t="s">
        <v>4</v>
      </c>
      <c r="G15" t="s">
        <v>3</v>
      </c>
      <c r="H15">
        <v>1</v>
      </c>
    </row>
    <row r="16" spans="1:10" ht="20">
      <c r="C16" s="2">
        <v>1993</v>
      </c>
      <c r="D16" s="3">
        <v>46099</v>
      </c>
      <c r="F16" t="s">
        <v>2</v>
      </c>
      <c r="G16" t="s">
        <v>3</v>
      </c>
      <c r="H16">
        <v>1</v>
      </c>
    </row>
    <row r="17" spans="1:8" ht="20">
      <c r="C17" s="2">
        <v>1994</v>
      </c>
      <c r="D17" s="3">
        <v>46100</v>
      </c>
      <c r="F17" t="s">
        <v>0</v>
      </c>
      <c r="G17" t="s">
        <v>1</v>
      </c>
      <c r="H17">
        <v>0</v>
      </c>
    </row>
    <row r="18" spans="1:8" ht="18">
      <c r="C18" s="1"/>
      <c r="D18" s="1"/>
    </row>
    <row r="19" spans="1:8" ht="18">
      <c r="C19" s="1"/>
      <c r="D19" s="1"/>
    </row>
    <row r="20" spans="1:8" ht="18">
      <c r="A20" t="s">
        <v>24</v>
      </c>
      <c r="D20" s="1"/>
    </row>
    <row r="21" spans="1:8" ht="18">
      <c r="D21" s="1"/>
    </row>
    <row r="22" spans="1:8" ht="18">
      <c r="A22" t="s">
        <v>25</v>
      </c>
      <c r="D22" s="1"/>
    </row>
    <row r="23" spans="1:8" ht="18">
      <c r="D23" s="1"/>
    </row>
    <row r="24" spans="1:8" ht="18">
      <c r="A24" s="7" t="s">
        <v>26</v>
      </c>
      <c r="D24" s="1"/>
    </row>
    <row r="25" spans="1:8" ht="18">
      <c r="D25" s="1"/>
    </row>
    <row r="26" spans="1:8" ht="18">
      <c r="A26" s="7" t="s">
        <v>27</v>
      </c>
      <c r="B26" s="7" t="s">
        <v>28</v>
      </c>
      <c r="C26" s="7" t="s">
        <v>29</v>
      </c>
      <c r="D26" s="1"/>
    </row>
    <row r="27" spans="1:8" ht="18">
      <c r="A27" s="7">
        <v>1815</v>
      </c>
      <c r="B27" s="8">
        <v>46034</v>
      </c>
      <c r="C27" t="s">
        <v>30</v>
      </c>
      <c r="D27" s="1"/>
    </row>
    <row r="28" spans="1:8" ht="18">
      <c r="A28" s="7">
        <v>1905</v>
      </c>
      <c r="B28" s="8">
        <v>46062</v>
      </c>
      <c r="C28" t="s">
        <v>31</v>
      </c>
      <c r="D28" s="1"/>
    </row>
    <row r="29" spans="1:8" ht="18">
      <c r="A29" s="7">
        <v>1966</v>
      </c>
      <c r="B29" s="8">
        <v>46087</v>
      </c>
      <c r="C29" t="s">
        <v>32</v>
      </c>
      <c r="D29" s="1"/>
    </row>
    <row r="30" spans="1:8" ht="18">
      <c r="A30" s="7">
        <v>1982</v>
      </c>
      <c r="B30" s="8">
        <v>46092</v>
      </c>
      <c r="C30" t="s">
        <v>33</v>
      </c>
      <c r="D30" s="1"/>
    </row>
    <row r="31" spans="1:8" ht="18">
      <c r="A31" s="7">
        <v>1983</v>
      </c>
      <c r="B31" s="8">
        <v>46093</v>
      </c>
      <c r="C31" t="s">
        <v>34</v>
      </c>
      <c r="D31" s="1"/>
    </row>
    <row r="32" spans="1:8" ht="18">
      <c r="A32" s="7">
        <v>1986</v>
      </c>
      <c r="B32" s="8">
        <v>46097</v>
      </c>
      <c r="C32" t="s">
        <v>34</v>
      </c>
      <c r="D32" s="1"/>
    </row>
    <row r="34" spans="1:1">
      <c r="A34" s="7" t="s">
        <v>35</v>
      </c>
    </row>
    <row r="36" spans="1:1">
      <c r="A36" s="7" t="s">
        <v>36</v>
      </c>
    </row>
    <row r="38" spans="1:1">
      <c r="A38" t="s">
        <v>37</v>
      </c>
    </row>
    <row r="39" spans="1:1">
      <c r="A39" t="s">
        <v>38</v>
      </c>
    </row>
    <row r="40" spans="1:1">
      <c r="A40" t="s">
        <v>39</v>
      </c>
    </row>
    <row r="42" spans="1:1">
      <c r="A42" t="s">
        <v>40</v>
      </c>
    </row>
  </sheetData>
  <sortState xmlns:xlrd2="http://schemas.microsoft.com/office/spreadsheetml/2017/richdata2" ref="F8:H17">
    <sortCondition ref="F8:F17"/>
  </sortState>
  <pageMargins left="0.7" right="0.7" top="0.75" bottom="0.75" header="0.3" footer="0.3"/>
  <pageSetup scale="8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76D3-9DCD-AF46-93A0-3260D7DD697E}">
  <sheetPr filterMode="1"/>
  <dimension ref="A1:X53"/>
  <sheetViews>
    <sheetView tabSelected="1" topLeftCell="P1" zoomScale="140" zoomScaleNormal="140" workbookViewId="0">
      <selection activeCell="S24" sqref="S24"/>
    </sheetView>
  </sheetViews>
  <sheetFormatPr baseColWidth="10" defaultRowHeight="15"/>
  <cols>
    <col min="1" max="1" width="5" style="9" bestFit="1" customWidth="1"/>
    <col min="2" max="2" width="10.7109375" style="9"/>
    <col min="3" max="3" width="32.140625" style="9" bestFit="1" customWidth="1"/>
    <col min="4" max="4" width="10.7109375" style="9"/>
    <col min="5" max="5" width="12.85546875" style="9" bestFit="1" customWidth="1"/>
    <col min="6" max="6" width="10.7109375" style="9"/>
    <col min="7" max="7" width="35.5703125" style="9" bestFit="1" customWidth="1"/>
    <col min="8" max="8" width="31.28515625" style="9" bestFit="1" customWidth="1"/>
    <col min="9" max="9" width="9.85546875" style="9" bestFit="1" customWidth="1"/>
    <col min="10" max="10" width="7.85546875" style="9" bestFit="1" customWidth="1"/>
    <col min="11" max="11" width="16.28515625" style="13" bestFit="1" customWidth="1"/>
    <col min="12" max="12" width="8.42578125" style="13" bestFit="1" customWidth="1"/>
    <col min="13" max="13" width="10.7109375" style="9"/>
    <col min="14" max="14" width="32.140625" style="9" bestFit="1" customWidth="1"/>
    <col min="15" max="15" width="14.28515625" style="9" bestFit="1" customWidth="1"/>
    <col min="16" max="16" width="27.5703125" style="9" bestFit="1" customWidth="1"/>
    <col min="17" max="17" width="10.7109375" style="9"/>
    <col min="18" max="18" width="39.7109375" style="9" bestFit="1" customWidth="1"/>
    <col min="19" max="19" width="49" style="9" bestFit="1" customWidth="1"/>
    <col min="20" max="20" width="7" style="9" bestFit="1" customWidth="1"/>
    <col min="21" max="21" width="6" style="9" bestFit="1" customWidth="1"/>
    <col min="22" max="22" width="2" style="9" bestFit="1" customWidth="1"/>
    <col min="23" max="23" width="11.42578125" style="9" bestFit="1" customWidth="1"/>
    <col min="24" max="16384" width="10.7109375" style="9"/>
  </cols>
  <sheetData>
    <row r="1" spans="1:24">
      <c r="A1" s="9" t="s">
        <v>50</v>
      </c>
      <c r="D1" s="19">
        <f>+SUBTOTAL(9,D3:D30)</f>
        <v>1248</v>
      </c>
      <c r="E1" s="19">
        <f>+SUBTOTAL(9,E3:E30)</f>
        <v>58032</v>
      </c>
      <c r="G1" s="9" t="s">
        <v>23</v>
      </c>
      <c r="I1" s="19">
        <f>+SUBTOTAL(9,I3:I53)</f>
        <v>276</v>
      </c>
      <c r="L1" s="19">
        <f>+SUBTOTAL(9,L3:L53)</f>
        <v>19248</v>
      </c>
      <c r="U1" s="19">
        <f>+SUBTOTAL(9,U2:U52)</f>
        <v>528</v>
      </c>
    </row>
    <row r="2" spans="1:24" hidden="1">
      <c r="A2" s="10" t="s">
        <v>50</v>
      </c>
      <c r="B2" s="10" t="s">
        <v>42</v>
      </c>
      <c r="C2" s="10" t="s">
        <v>41</v>
      </c>
      <c r="D2" s="10" t="s">
        <v>43</v>
      </c>
      <c r="E2" s="10" t="s">
        <v>44</v>
      </c>
      <c r="G2" s="11" t="s">
        <v>74</v>
      </c>
      <c r="H2" s="11" t="s">
        <v>119</v>
      </c>
      <c r="I2" s="11" t="s">
        <v>43</v>
      </c>
      <c r="J2" s="11" t="s">
        <v>75</v>
      </c>
      <c r="K2" s="14" t="s">
        <v>76</v>
      </c>
      <c r="L2" s="14" t="s">
        <v>77</v>
      </c>
      <c r="N2" s="16" t="s">
        <v>116</v>
      </c>
      <c r="O2" t="s">
        <v>120</v>
      </c>
      <c r="P2" t="s">
        <v>118</v>
      </c>
      <c r="R2" s="20" t="str">
        <f>+VLOOKUP(T2,$B$3:$E$30,2,FALSE)</f>
        <v>Tuerca Hexagonal Grado 2 1/2 NR</v>
      </c>
      <c r="S2" s="20" t="s">
        <v>121</v>
      </c>
      <c r="T2" s="22">
        <v>45</v>
      </c>
      <c r="U2" s="21">
        <v>616</v>
      </c>
      <c r="V2" s="21">
        <v>0</v>
      </c>
      <c r="W2" s="20" t="s">
        <v>122</v>
      </c>
      <c r="X2" s="23">
        <v>0</v>
      </c>
    </row>
    <row r="3" spans="1:24" hidden="1">
      <c r="A3" s="9">
        <v>1959</v>
      </c>
      <c r="B3" s="13">
        <v>88</v>
      </c>
      <c r="C3" s="9" t="s">
        <v>52</v>
      </c>
      <c r="D3" s="13">
        <v>212</v>
      </c>
      <c r="E3" s="13">
        <v>18656</v>
      </c>
      <c r="G3" s="12" t="s">
        <v>80</v>
      </c>
      <c r="H3" s="12" t="s">
        <v>62</v>
      </c>
      <c r="I3" s="12">
        <v>616</v>
      </c>
      <c r="J3" s="12" t="s">
        <v>79</v>
      </c>
      <c r="K3" s="15">
        <v>25</v>
      </c>
      <c r="L3" s="15">
        <v>15400</v>
      </c>
      <c r="N3" s="17" t="s">
        <v>56</v>
      </c>
      <c r="O3" s="18">
        <v>240</v>
      </c>
      <c r="P3" s="18">
        <v>6</v>
      </c>
      <c r="R3" s="20" t="str">
        <f t="shared" ref="R3:R52" si="0">+VLOOKUP(T3,$B$3:$E$30,2,FALSE)</f>
        <v>Golilla Plana 1/2 NR</v>
      </c>
      <c r="S3" s="20" t="s">
        <v>123</v>
      </c>
      <c r="T3" s="22">
        <v>25</v>
      </c>
      <c r="U3" s="21">
        <v>616</v>
      </c>
      <c r="V3" s="21">
        <v>0</v>
      </c>
      <c r="W3" s="20" t="s">
        <v>122</v>
      </c>
      <c r="X3" s="23">
        <v>0</v>
      </c>
    </row>
    <row r="4" spans="1:24" hidden="1">
      <c r="A4" s="9">
        <v>1959</v>
      </c>
      <c r="B4" s="13">
        <v>6</v>
      </c>
      <c r="C4" s="9" t="s">
        <v>56</v>
      </c>
      <c r="D4" s="13">
        <v>40</v>
      </c>
      <c r="E4" s="13">
        <v>240</v>
      </c>
      <c r="G4" s="12" t="s">
        <v>80</v>
      </c>
      <c r="H4" s="12" t="s">
        <v>62</v>
      </c>
      <c r="I4" s="12">
        <v>120</v>
      </c>
      <c r="J4" s="12" t="s">
        <v>79</v>
      </c>
      <c r="K4" s="15">
        <v>25</v>
      </c>
      <c r="L4" s="15">
        <v>3000</v>
      </c>
      <c r="N4" s="17" t="s">
        <v>53</v>
      </c>
      <c r="O4" s="18">
        <v>320</v>
      </c>
      <c r="P4" s="18">
        <v>8</v>
      </c>
      <c r="R4" s="20" t="str">
        <f t="shared" si="0"/>
        <v>Golilla Presión 1/2 NR</v>
      </c>
      <c r="S4" s="20" t="s">
        <v>124</v>
      </c>
      <c r="T4" s="22">
        <v>26</v>
      </c>
      <c r="U4" s="21">
        <v>616</v>
      </c>
      <c r="V4" s="21">
        <v>0</v>
      </c>
      <c r="W4" s="20" t="s">
        <v>122</v>
      </c>
      <c r="X4" s="23">
        <v>0</v>
      </c>
    </row>
    <row r="5" spans="1:24" hidden="1">
      <c r="A5" s="9">
        <v>1959</v>
      </c>
      <c r="B5" s="13">
        <v>21</v>
      </c>
      <c r="C5" s="9" t="s">
        <v>59</v>
      </c>
      <c r="D5" s="13">
        <v>212</v>
      </c>
      <c r="E5" s="13">
        <v>4452</v>
      </c>
      <c r="G5" s="12" t="s">
        <v>80</v>
      </c>
      <c r="H5" s="12" t="s">
        <v>62</v>
      </c>
      <c r="I5" s="12">
        <v>20</v>
      </c>
      <c r="J5" s="12" t="s">
        <v>79</v>
      </c>
      <c r="K5" s="15">
        <v>25</v>
      </c>
      <c r="L5" s="15">
        <v>500</v>
      </c>
      <c r="N5" s="17" t="s">
        <v>58</v>
      </c>
      <c r="O5" s="18">
        <v>4752</v>
      </c>
      <c r="P5" s="18">
        <v>9</v>
      </c>
      <c r="R5" s="20" t="str">
        <f t="shared" si="0"/>
        <v>Perno Hexagonal Grado 2 1/2 x 1.1/2 NR ​</v>
      </c>
      <c r="S5" s="20" t="s">
        <v>125</v>
      </c>
      <c r="T5" s="22">
        <v>132</v>
      </c>
      <c r="U5" s="21">
        <v>120</v>
      </c>
      <c r="V5" s="21">
        <v>0</v>
      </c>
      <c r="W5" s="20" t="s">
        <v>126</v>
      </c>
      <c r="X5" s="23">
        <v>0</v>
      </c>
    </row>
    <row r="6" spans="1:24" hidden="1">
      <c r="A6" s="9">
        <v>1972</v>
      </c>
      <c r="B6" s="13">
        <v>132</v>
      </c>
      <c r="C6" s="9" t="s">
        <v>47</v>
      </c>
      <c r="D6" s="13">
        <v>520</v>
      </c>
      <c r="E6" s="13">
        <v>68640</v>
      </c>
      <c r="G6" s="12" t="s">
        <v>106</v>
      </c>
      <c r="H6" s="12" t="s">
        <v>62</v>
      </c>
      <c r="I6" s="12">
        <v>120</v>
      </c>
      <c r="J6" s="12" t="s">
        <v>79</v>
      </c>
      <c r="K6" s="15">
        <v>25</v>
      </c>
      <c r="L6" s="15">
        <v>3000</v>
      </c>
      <c r="N6" s="17" t="s">
        <v>54</v>
      </c>
      <c r="O6" s="18">
        <v>5808</v>
      </c>
      <c r="P6" s="18">
        <v>11</v>
      </c>
      <c r="R6" s="20" t="str">
        <f t="shared" si="0"/>
        <v>Tuerca Hexagonal Grado 2 1/2 NR</v>
      </c>
      <c r="S6" s="20" t="s">
        <v>121</v>
      </c>
      <c r="T6" s="22">
        <v>45</v>
      </c>
      <c r="U6" s="21">
        <v>120</v>
      </c>
      <c r="V6" s="21">
        <v>0</v>
      </c>
      <c r="W6" s="20" t="s">
        <v>126</v>
      </c>
      <c r="X6" s="23">
        <v>0</v>
      </c>
    </row>
    <row r="7" spans="1:24" hidden="1">
      <c r="A7" s="9">
        <v>1972</v>
      </c>
      <c r="B7" s="13">
        <v>42</v>
      </c>
      <c r="C7" s="9" t="s">
        <v>48</v>
      </c>
      <c r="D7" s="13">
        <v>1520</v>
      </c>
      <c r="E7" s="13">
        <v>63840</v>
      </c>
      <c r="G7" s="12" t="s">
        <v>106</v>
      </c>
      <c r="H7" s="12" t="s">
        <v>62</v>
      </c>
      <c r="I7" s="12">
        <v>156</v>
      </c>
      <c r="J7" s="12" t="s">
        <v>79</v>
      </c>
      <c r="K7" s="15">
        <v>25</v>
      </c>
      <c r="L7" s="15">
        <v>3900</v>
      </c>
      <c r="N7" s="17" t="s">
        <v>66</v>
      </c>
      <c r="O7" s="18">
        <v>720</v>
      </c>
      <c r="P7" s="18">
        <v>18</v>
      </c>
      <c r="R7" s="20" t="str">
        <f t="shared" si="0"/>
        <v>Golilla Plana 1/2 NR</v>
      </c>
      <c r="S7" s="20" t="s">
        <v>123</v>
      </c>
      <c r="T7" s="22">
        <v>25</v>
      </c>
      <c r="U7" s="21">
        <v>120</v>
      </c>
      <c r="V7" s="21">
        <v>0</v>
      </c>
      <c r="W7" s="20" t="s">
        <v>126</v>
      </c>
      <c r="X7" s="23">
        <v>0</v>
      </c>
    </row>
    <row r="8" spans="1:24" hidden="1">
      <c r="A8" s="9">
        <v>1972</v>
      </c>
      <c r="B8" s="13">
        <v>103</v>
      </c>
      <c r="C8" s="9" t="s">
        <v>49</v>
      </c>
      <c r="D8" s="13">
        <v>268</v>
      </c>
      <c r="E8" s="13">
        <v>27604</v>
      </c>
      <c r="G8" s="12" t="s">
        <v>111</v>
      </c>
      <c r="H8" s="12" t="s">
        <v>62</v>
      </c>
      <c r="I8" s="12">
        <v>4</v>
      </c>
      <c r="J8" s="12" t="s">
        <v>79</v>
      </c>
      <c r="K8" s="15">
        <v>25</v>
      </c>
      <c r="L8" s="15">
        <v>100</v>
      </c>
      <c r="N8" s="17" t="s">
        <v>59</v>
      </c>
      <c r="O8" s="18">
        <v>4452</v>
      </c>
      <c r="P8" s="18">
        <v>21</v>
      </c>
      <c r="R8" s="20" t="str">
        <f t="shared" si="0"/>
        <v>Golilla Presión 1/2 NR</v>
      </c>
      <c r="S8" s="20" t="s">
        <v>127</v>
      </c>
      <c r="T8" s="22">
        <v>26</v>
      </c>
      <c r="U8" s="21">
        <v>120</v>
      </c>
      <c r="V8" s="21">
        <v>0</v>
      </c>
      <c r="W8" s="20" t="s">
        <v>126</v>
      </c>
      <c r="X8" s="23">
        <v>0</v>
      </c>
    </row>
    <row r="9" spans="1:24" hidden="1">
      <c r="A9" s="9">
        <v>1959</v>
      </c>
      <c r="B9" s="13">
        <v>8</v>
      </c>
      <c r="C9" s="9" t="s">
        <v>53</v>
      </c>
      <c r="D9" s="13">
        <v>40</v>
      </c>
      <c r="E9" s="13">
        <v>320</v>
      </c>
      <c r="G9" s="12" t="s">
        <v>80</v>
      </c>
      <c r="H9" s="12" t="s">
        <v>62</v>
      </c>
      <c r="I9" s="12">
        <v>280</v>
      </c>
      <c r="J9" s="12" t="s">
        <v>79</v>
      </c>
      <c r="K9" s="15">
        <v>25</v>
      </c>
      <c r="L9" s="15">
        <v>7000</v>
      </c>
      <c r="N9" s="17" t="s">
        <v>51</v>
      </c>
      <c r="O9" s="18">
        <v>11616</v>
      </c>
      <c r="P9" s="18">
        <v>22</v>
      </c>
      <c r="R9" s="20" t="str">
        <f t="shared" si="0"/>
        <v>Perno Hexagonal Grado 2 1/2 x 2 NR</v>
      </c>
      <c r="S9" s="20" t="s">
        <v>128</v>
      </c>
      <c r="T9" s="22">
        <v>171</v>
      </c>
      <c r="U9" s="21">
        <v>20</v>
      </c>
      <c r="V9" s="21">
        <v>0</v>
      </c>
      <c r="W9" s="20" t="s">
        <v>129</v>
      </c>
      <c r="X9" s="23">
        <v>0</v>
      </c>
    </row>
    <row r="10" spans="1:24" hidden="1">
      <c r="A10" s="9">
        <v>1959</v>
      </c>
      <c r="B10" s="13">
        <v>66</v>
      </c>
      <c r="C10" s="9" t="s">
        <v>57</v>
      </c>
      <c r="D10" s="13">
        <v>80</v>
      </c>
      <c r="E10" s="13">
        <v>5280</v>
      </c>
      <c r="G10" s="12" t="s">
        <v>99</v>
      </c>
      <c r="H10" s="12" t="s">
        <v>53</v>
      </c>
      <c r="I10" s="12">
        <v>40</v>
      </c>
      <c r="J10" s="12" t="s">
        <v>79</v>
      </c>
      <c r="K10" s="15">
        <v>8</v>
      </c>
      <c r="L10" s="15">
        <v>320</v>
      </c>
      <c r="N10" s="17" t="s">
        <v>62</v>
      </c>
      <c r="O10" s="18">
        <v>32900</v>
      </c>
      <c r="P10" s="18">
        <v>25</v>
      </c>
      <c r="R10" s="20" t="str">
        <f t="shared" si="0"/>
        <v>Golilla Plana 1/2 NR</v>
      </c>
      <c r="S10" s="20" t="s">
        <v>123</v>
      </c>
      <c r="T10" s="22">
        <v>25</v>
      </c>
      <c r="U10" s="21">
        <v>20</v>
      </c>
      <c r="V10" s="21">
        <v>0</v>
      </c>
      <c r="W10" s="20" t="s">
        <v>129</v>
      </c>
      <c r="X10" s="23">
        <v>0</v>
      </c>
    </row>
    <row r="11" spans="1:24" hidden="1">
      <c r="A11" s="9">
        <v>1959</v>
      </c>
      <c r="B11" s="13">
        <v>60</v>
      </c>
      <c r="C11" s="9" t="s">
        <v>60</v>
      </c>
      <c r="D11" s="13">
        <v>80</v>
      </c>
      <c r="E11" s="13">
        <v>4800</v>
      </c>
      <c r="G11" s="12" t="s">
        <v>107</v>
      </c>
      <c r="H11" s="12" t="s">
        <v>60</v>
      </c>
      <c r="I11" s="12">
        <v>80</v>
      </c>
      <c r="J11" s="12" t="s">
        <v>79</v>
      </c>
      <c r="K11" s="15">
        <v>60</v>
      </c>
      <c r="L11" s="15">
        <v>4800</v>
      </c>
      <c r="N11" s="17" t="s">
        <v>63</v>
      </c>
      <c r="O11" s="18">
        <v>66560</v>
      </c>
      <c r="P11" s="18">
        <v>26</v>
      </c>
      <c r="R11" s="20" t="str">
        <f t="shared" si="0"/>
        <v>Golilla Presión 1/2 NR</v>
      </c>
      <c r="S11" s="20" t="s">
        <v>127</v>
      </c>
      <c r="T11" s="22">
        <v>26</v>
      </c>
      <c r="U11" s="21">
        <v>20</v>
      </c>
      <c r="V11" s="21">
        <v>0</v>
      </c>
      <c r="W11" s="20" t="s">
        <v>129</v>
      </c>
      <c r="X11" s="23">
        <v>0</v>
      </c>
    </row>
    <row r="12" spans="1:24" hidden="1">
      <c r="A12" s="9">
        <v>1960</v>
      </c>
      <c r="B12" s="13">
        <v>26</v>
      </c>
      <c r="C12" s="9" t="s">
        <v>63</v>
      </c>
      <c r="D12" s="13">
        <v>1520</v>
      </c>
      <c r="E12" s="13">
        <v>39520</v>
      </c>
      <c r="G12" s="12" t="s">
        <v>100</v>
      </c>
      <c r="H12" s="12" t="s">
        <v>54</v>
      </c>
      <c r="I12" s="12">
        <v>208</v>
      </c>
      <c r="J12" s="12" t="s">
        <v>79</v>
      </c>
      <c r="K12" s="15">
        <v>11</v>
      </c>
      <c r="L12" s="15">
        <v>2288</v>
      </c>
      <c r="N12" s="17" t="s">
        <v>55</v>
      </c>
      <c r="O12" s="18">
        <v>6784</v>
      </c>
      <c r="P12" s="18">
        <v>32</v>
      </c>
      <c r="R12" s="20" t="str">
        <f t="shared" si="0"/>
        <v>Tuerca Hexagonal Grado 2 1/2 NR</v>
      </c>
      <c r="S12" s="20" t="s">
        <v>121</v>
      </c>
      <c r="T12" s="22">
        <v>45</v>
      </c>
      <c r="U12" s="21">
        <v>20</v>
      </c>
      <c r="V12" s="21">
        <v>0</v>
      </c>
      <c r="W12" s="20" t="s">
        <v>129</v>
      </c>
      <c r="X12" s="23">
        <v>0</v>
      </c>
    </row>
    <row r="13" spans="1:24" hidden="1">
      <c r="A13" s="9">
        <v>1959</v>
      </c>
      <c r="B13" s="13">
        <v>11</v>
      </c>
      <c r="C13" s="9" t="s">
        <v>54</v>
      </c>
      <c r="D13" s="13">
        <v>528</v>
      </c>
      <c r="E13" s="13">
        <v>5808</v>
      </c>
      <c r="G13" s="12" t="s">
        <v>108</v>
      </c>
      <c r="H13" s="12" t="s">
        <v>54</v>
      </c>
      <c r="I13" s="12">
        <v>320</v>
      </c>
      <c r="J13" s="12" t="s">
        <v>79</v>
      </c>
      <c r="K13" s="15">
        <v>11</v>
      </c>
      <c r="L13" s="15">
        <v>3520</v>
      </c>
      <c r="N13" s="17" t="s">
        <v>72</v>
      </c>
      <c r="O13" s="18">
        <v>1520</v>
      </c>
      <c r="P13" s="18">
        <v>38</v>
      </c>
      <c r="R13" s="20" t="str">
        <f t="shared" si="0"/>
        <v>Perno Hexagonal Grado 2 1/4 x 1 NR</v>
      </c>
      <c r="S13" s="20" t="s">
        <v>130</v>
      </c>
      <c r="T13" s="22">
        <v>18</v>
      </c>
      <c r="U13" s="21">
        <v>40</v>
      </c>
      <c r="V13" s="21">
        <v>0</v>
      </c>
      <c r="W13" s="20" t="s">
        <v>131</v>
      </c>
      <c r="X13" s="23">
        <v>0</v>
      </c>
    </row>
    <row r="14" spans="1:24" hidden="1">
      <c r="A14" s="9">
        <v>1959</v>
      </c>
      <c r="B14" s="13">
        <v>9</v>
      </c>
      <c r="C14" s="9" t="s">
        <v>58</v>
      </c>
      <c r="D14" s="13">
        <v>528</v>
      </c>
      <c r="E14" s="13">
        <v>4752</v>
      </c>
      <c r="G14" s="12" t="s">
        <v>101</v>
      </c>
      <c r="H14" s="12" t="s">
        <v>55</v>
      </c>
      <c r="I14" s="12">
        <v>56</v>
      </c>
      <c r="J14" s="12" t="s">
        <v>79</v>
      </c>
      <c r="K14" s="15">
        <v>32</v>
      </c>
      <c r="L14" s="15">
        <v>1792</v>
      </c>
      <c r="N14" s="17" t="s">
        <v>48</v>
      </c>
      <c r="O14" s="18">
        <v>63840</v>
      </c>
      <c r="P14" s="18">
        <v>42</v>
      </c>
      <c r="R14" s="20" t="str">
        <f t="shared" si="0"/>
        <v>Perno Hexagonal A325 3/4 x 2.1/2 NR</v>
      </c>
      <c r="S14" s="20" t="s">
        <v>132</v>
      </c>
      <c r="T14" s="22">
        <v>1008</v>
      </c>
      <c r="U14" s="21">
        <v>80</v>
      </c>
      <c r="V14" s="21">
        <v>0</v>
      </c>
      <c r="W14" s="20" t="s">
        <v>133</v>
      </c>
      <c r="X14" s="23">
        <v>0</v>
      </c>
    </row>
    <row r="15" spans="1:24" hidden="1">
      <c r="A15" s="9">
        <v>1960</v>
      </c>
      <c r="B15" s="13">
        <v>25</v>
      </c>
      <c r="C15" s="9" t="s">
        <v>62</v>
      </c>
      <c r="D15" s="13">
        <v>276</v>
      </c>
      <c r="E15" s="13">
        <v>6900</v>
      </c>
      <c r="G15" s="12" t="s">
        <v>101</v>
      </c>
      <c r="H15" s="12" t="s">
        <v>55</v>
      </c>
      <c r="I15" s="12">
        <v>156</v>
      </c>
      <c r="J15" s="12" t="s">
        <v>79</v>
      </c>
      <c r="K15" s="15">
        <v>32</v>
      </c>
      <c r="L15" s="15">
        <v>4992</v>
      </c>
      <c r="N15" s="17" t="s">
        <v>61</v>
      </c>
      <c r="O15" s="18">
        <v>46800</v>
      </c>
      <c r="P15" s="18">
        <v>45</v>
      </c>
      <c r="R15" s="20" t="str">
        <f t="shared" si="0"/>
        <v>Perno Hexagonal Grado 2 3/8 x 1.1/2 NR</v>
      </c>
      <c r="S15" s="20" t="s">
        <v>134</v>
      </c>
      <c r="T15" s="22">
        <v>68</v>
      </c>
      <c r="U15" s="21">
        <v>140</v>
      </c>
      <c r="V15" s="21">
        <v>0</v>
      </c>
      <c r="W15" s="20" t="s">
        <v>135</v>
      </c>
      <c r="X15" s="23">
        <v>0</v>
      </c>
    </row>
    <row r="16" spans="1:24" hidden="1">
      <c r="A16" s="9">
        <v>1960</v>
      </c>
      <c r="B16" s="13">
        <v>171</v>
      </c>
      <c r="C16" s="9" t="s">
        <v>65</v>
      </c>
      <c r="D16" s="13">
        <v>20</v>
      </c>
      <c r="E16" s="13">
        <v>3420</v>
      </c>
      <c r="G16" s="12" t="s">
        <v>81</v>
      </c>
      <c r="H16" s="12" t="s">
        <v>63</v>
      </c>
      <c r="I16" s="12">
        <v>616</v>
      </c>
      <c r="J16" s="12" t="s">
        <v>79</v>
      </c>
      <c r="K16" s="15">
        <v>26</v>
      </c>
      <c r="L16" s="15">
        <v>16016</v>
      </c>
      <c r="N16" s="17" t="s">
        <v>69</v>
      </c>
      <c r="O16" s="18">
        <v>11232</v>
      </c>
      <c r="P16" s="18">
        <v>54</v>
      </c>
      <c r="R16" s="20" t="str">
        <f t="shared" si="0"/>
        <v>Perno Hexagonal Grado 2 3/8 x 1 NR</v>
      </c>
      <c r="S16" s="20" t="s">
        <v>136</v>
      </c>
      <c r="T16" s="22">
        <v>54</v>
      </c>
      <c r="U16" s="21">
        <v>208</v>
      </c>
      <c r="V16" s="21">
        <v>0</v>
      </c>
      <c r="W16" s="20" t="s">
        <v>137</v>
      </c>
      <c r="X16" s="23">
        <v>0</v>
      </c>
    </row>
    <row r="17" spans="1:24" hidden="1">
      <c r="A17" s="9">
        <v>1960</v>
      </c>
      <c r="B17" s="13">
        <v>132</v>
      </c>
      <c r="C17" s="9" t="s">
        <v>64</v>
      </c>
      <c r="D17" s="13">
        <v>500</v>
      </c>
      <c r="E17" s="13">
        <v>66000</v>
      </c>
      <c r="G17" s="12" t="s">
        <v>83</v>
      </c>
      <c r="H17" s="12" t="s">
        <v>63</v>
      </c>
      <c r="I17" s="12">
        <v>120</v>
      </c>
      <c r="J17" s="12" t="s">
        <v>79</v>
      </c>
      <c r="K17" s="15">
        <v>26</v>
      </c>
      <c r="L17" s="15">
        <v>3120</v>
      </c>
      <c r="N17" s="17" t="s">
        <v>70</v>
      </c>
      <c r="O17" s="18">
        <v>3480</v>
      </c>
      <c r="P17" s="18">
        <v>58</v>
      </c>
      <c r="R17" s="20" t="str">
        <f t="shared" si="0"/>
        <v>Perno Hexagonal Grado 2 3/8 X 3/4" NR</v>
      </c>
      <c r="S17" s="20" t="s">
        <v>138</v>
      </c>
      <c r="T17" s="22">
        <v>58</v>
      </c>
      <c r="U17" s="21">
        <v>60</v>
      </c>
      <c r="V17" s="21">
        <v>0</v>
      </c>
      <c r="W17" s="20" t="s">
        <v>139</v>
      </c>
      <c r="X17" s="23">
        <v>0</v>
      </c>
    </row>
    <row r="18" spans="1:24" hidden="1">
      <c r="A18" s="9">
        <v>1960</v>
      </c>
      <c r="B18" s="13">
        <v>1008</v>
      </c>
      <c r="C18" s="9" t="s">
        <v>67</v>
      </c>
      <c r="D18" s="13">
        <v>80</v>
      </c>
      <c r="E18" s="13">
        <v>80640</v>
      </c>
      <c r="G18" s="12" t="s">
        <v>83</v>
      </c>
      <c r="H18" s="12" t="s">
        <v>63</v>
      </c>
      <c r="I18" s="12">
        <v>20</v>
      </c>
      <c r="J18" s="12" t="s">
        <v>79</v>
      </c>
      <c r="K18" s="15">
        <v>26</v>
      </c>
      <c r="L18" s="15">
        <v>520</v>
      </c>
      <c r="N18" s="17" t="s">
        <v>60</v>
      </c>
      <c r="O18" s="18">
        <v>4800</v>
      </c>
      <c r="P18" s="18">
        <v>60</v>
      </c>
      <c r="R18" s="20" t="str">
        <f t="shared" si="0"/>
        <v>Perno Hexagonal Grado 2 3/8 x 1.1/2 NR</v>
      </c>
      <c r="S18" s="20" t="s">
        <v>140</v>
      </c>
      <c r="T18" s="22">
        <v>68</v>
      </c>
      <c r="U18" s="21">
        <v>120</v>
      </c>
      <c r="V18" s="21">
        <v>0</v>
      </c>
      <c r="W18" s="20" t="s">
        <v>126</v>
      </c>
      <c r="X18" s="23">
        <v>0</v>
      </c>
    </row>
    <row r="19" spans="1:24" hidden="1">
      <c r="A19" s="9">
        <v>1960</v>
      </c>
      <c r="B19" s="13">
        <v>18</v>
      </c>
      <c r="C19" s="9" t="s">
        <v>66</v>
      </c>
      <c r="D19" s="13">
        <v>40</v>
      </c>
      <c r="E19" s="13">
        <v>720</v>
      </c>
      <c r="G19" s="12" t="s">
        <v>83</v>
      </c>
      <c r="H19" s="12" t="s">
        <v>63</v>
      </c>
      <c r="I19" s="12">
        <v>120</v>
      </c>
      <c r="J19" s="12" t="s">
        <v>79</v>
      </c>
      <c r="K19" s="15">
        <v>26</v>
      </c>
      <c r="L19" s="15">
        <v>3120</v>
      </c>
      <c r="N19" s="17" t="s">
        <v>57</v>
      </c>
      <c r="O19" s="18">
        <v>5280</v>
      </c>
      <c r="P19" s="18">
        <v>66</v>
      </c>
      <c r="R19" s="20" t="str">
        <f t="shared" si="0"/>
        <v>Perno Hexagonal Grado 2 5/8 x 4 NR</v>
      </c>
      <c r="S19" s="20" t="s">
        <v>141</v>
      </c>
      <c r="T19" s="22">
        <v>445</v>
      </c>
      <c r="U19" s="21">
        <v>56</v>
      </c>
      <c r="V19" s="21">
        <v>0</v>
      </c>
      <c r="W19" s="20" t="s">
        <v>142</v>
      </c>
      <c r="X19" s="23">
        <v>0</v>
      </c>
    </row>
    <row r="20" spans="1:24" hidden="1">
      <c r="A20" s="9">
        <v>1960</v>
      </c>
      <c r="B20" s="13">
        <v>68</v>
      </c>
      <c r="C20" s="9" t="s">
        <v>68</v>
      </c>
      <c r="D20" s="13">
        <v>260</v>
      </c>
      <c r="E20" s="13">
        <v>17680</v>
      </c>
      <c r="G20" s="12" t="s">
        <v>83</v>
      </c>
      <c r="H20" s="12" t="s">
        <v>63</v>
      </c>
      <c r="I20" s="12">
        <v>1400</v>
      </c>
      <c r="J20" s="12" t="s">
        <v>79</v>
      </c>
      <c r="K20" s="15">
        <v>26</v>
      </c>
      <c r="L20" s="15">
        <v>36400</v>
      </c>
      <c r="N20" s="17" t="s">
        <v>68</v>
      </c>
      <c r="O20" s="18">
        <v>17680</v>
      </c>
      <c r="P20" s="18">
        <v>68</v>
      </c>
      <c r="R20" s="20" t="str">
        <f t="shared" si="0"/>
        <v>Tuerca Hexagonal Grado 2 1/2 NR ​</v>
      </c>
      <c r="S20" s="20" t="s">
        <v>143</v>
      </c>
      <c r="T20" s="22">
        <v>42</v>
      </c>
      <c r="U20" s="24">
        <v>1520</v>
      </c>
      <c r="V20" s="21">
        <v>0</v>
      </c>
      <c r="W20" s="20" t="s">
        <v>144</v>
      </c>
      <c r="X20" s="23">
        <v>0</v>
      </c>
    </row>
    <row r="21" spans="1:24" hidden="1">
      <c r="A21" s="9">
        <v>1959</v>
      </c>
      <c r="B21" s="13">
        <v>22</v>
      </c>
      <c r="C21" s="9" t="s">
        <v>51</v>
      </c>
      <c r="D21" s="13">
        <v>528</v>
      </c>
      <c r="E21" s="13">
        <v>11616</v>
      </c>
      <c r="G21" s="12" t="s">
        <v>83</v>
      </c>
      <c r="H21" s="12" t="s">
        <v>63</v>
      </c>
      <c r="I21" s="12">
        <v>4</v>
      </c>
      <c r="J21" s="12" t="s">
        <v>79</v>
      </c>
      <c r="K21" s="15">
        <v>26</v>
      </c>
      <c r="L21" s="15">
        <v>104</v>
      </c>
      <c r="N21" s="17" t="s">
        <v>52</v>
      </c>
      <c r="O21" s="18">
        <v>18656</v>
      </c>
      <c r="P21" s="18">
        <v>88</v>
      </c>
      <c r="R21" s="20" t="str">
        <f t="shared" si="0"/>
        <v>Tuerca Hexagonal Grado 2 1/4 NR</v>
      </c>
      <c r="S21" s="20" t="s">
        <v>145</v>
      </c>
      <c r="T21" s="22">
        <v>38</v>
      </c>
      <c r="U21" s="21">
        <v>40</v>
      </c>
      <c r="V21" s="21">
        <v>0</v>
      </c>
      <c r="W21" s="20" t="s">
        <v>131</v>
      </c>
      <c r="X21" s="23">
        <v>0</v>
      </c>
    </row>
    <row r="22" spans="1:24" hidden="1">
      <c r="A22" s="9">
        <v>1959</v>
      </c>
      <c r="B22" s="13">
        <v>32</v>
      </c>
      <c r="C22" s="9" t="s">
        <v>55</v>
      </c>
      <c r="D22" s="13">
        <v>212</v>
      </c>
      <c r="E22" s="13">
        <v>6784</v>
      </c>
      <c r="G22" s="12" t="s">
        <v>81</v>
      </c>
      <c r="H22" s="12" t="s">
        <v>63</v>
      </c>
      <c r="I22" s="12">
        <v>280</v>
      </c>
      <c r="J22" s="12" t="s">
        <v>79</v>
      </c>
      <c r="K22" s="15">
        <v>26</v>
      </c>
      <c r="L22" s="15">
        <v>7280</v>
      </c>
      <c r="N22" s="17" t="s">
        <v>49</v>
      </c>
      <c r="O22" s="18">
        <v>27604</v>
      </c>
      <c r="P22" s="18">
        <v>103</v>
      </c>
      <c r="R22" s="20" t="str">
        <f t="shared" si="0"/>
        <v>Tuerca Hexagonal Grado 2 3/4 NR</v>
      </c>
      <c r="S22" s="20" t="s">
        <v>146</v>
      </c>
      <c r="T22" s="22">
        <v>251</v>
      </c>
      <c r="U22" s="21">
        <v>80</v>
      </c>
      <c r="V22" s="21">
        <v>0</v>
      </c>
      <c r="W22" s="20" t="s">
        <v>133</v>
      </c>
      <c r="X22" s="23">
        <v>0</v>
      </c>
    </row>
    <row r="23" spans="1:24">
      <c r="A23" s="9">
        <v>1960</v>
      </c>
      <c r="B23" s="13">
        <v>45</v>
      </c>
      <c r="C23" s="9" t="s">
        <v>61</v>
      </c>
      <c r="D23" s="13">
        <v>1040</v>
      </c>
      <c r="E23" s="13">
        <v>46800</v>
      </c>
      <c r="G23" s="12" t="s">
        <v>102</v>
      </c>
      <c r="H23" s="12" t="s">
        <v>56</v>
      </c>
      <c r="I23" s="12">
        <v>40</v>
      </c>
      <c r="J23" s="12" t="s">
        <v>79</v>
      </c>
      <c r="K23" s="15">
        <v>6</v>
      </c>
      <c r="L23" s="15">
        <v>240</v>
      </c>
      <c r="N23" s="17" t="s">
        <v>64</v>
      </c>
      <c r="O23" s="18">
        <v>134640</v>
      </c>
      <c r="P23" s="18">
        <v>132</v>
      </c>
      <c r="R23" s="20" t="str">
        <f t="shared" si="0"/>
        <v>Tuerca Hexagonal Grado 2 3/8 NR</v>
      </c>
      <c r="S23" s="20" t="s">
        <v>147</v>
      </c>
      <c r="T23" s="22">
        <v>22</v>
      </c>
      <c r="U23" s="21">
        <v>180</v>
      </c>
      <c r="V23" s="21">
        <v>0</v>
      </c>
      <c r="W23" s="20" t="s">
        <v>148</v>
      </c>
      <c r="X23" s="23">
        <v>0</v>
      </c>
    </row>
    <row r="24" spans="1:24">
      <c r="A24" s="9">
        <v>1960</v>
      </c>
      <c r="B24" s="13">
        <v>54</v>
      </c>
      <c r="C24" s="9" t="s">
        <v>69</v>
      </c>
      <c r="D24" s="13">
        <v>208</v>
      </c>
      <c r="E24" s="13">
        <v>11232</v>
      </c>
      <c r="G24" s="12" t="s">
        <v>103</v>
      </c>
      <c r="H24" s="12" t="s">
        <v>57</v>
      </c>
      <c r="I24" s="12">
        <v>80</v>
      </c>
      <c r="J24" s="12" t="s">
        <v>79</v>
      </c>
      <c r="K24" s="15">
        <v>66</v>
      </c>
      <c r="L24" s="15">
        <v>5280</v>
      </c>
      <c r="N24" s="17" t="s">
        <v>65</v>
      </c>
      <c r="O24" s="18">
        <v>3420</v>
      </c>
      <c r="P24" s="18">
        <v>171</v>
      </c>
      <c r="R24" s="20" t="str">
        <f t="shared" si="0"/>
        <v>Tuerca Hexagonal Grado 2 3/8 NR</v>
      </c>
      <c r="S24" s="20" t="s">
        <v>147</v>
      </c>
      <c r="T24" s="22">
        <v>22</v>
      </c>
      <c r="U24" s="21">
        <v>348</v>
      </c>
      <c r="V24" s="21">
        <v>0</v>
      </c>
      <c r="W24" s="20" t="s">
        <v>149</v>
      </c>
      <c r="X24" s="23">
        <v>0</v>
      </c>
    </row>
    <row r="25" spans="1:24" hidden="1">
      <c r="A25" s="9">
        <v>1960</v>
      </c>
      <c r="B25" s="13">
        <v>58</v>
      </c>
      <c r="C25" s="9" t="s">
        <v>70</v>
      </c>
      <c r="D25" s="13">
        <v>60</v>
      </c>
      <c r="E25" s="13">
        <v>3480</v>
      </c>
      <c r="G25" s="12" t="s">
        <v>104</v>
      </c>
      <c r="H25" s="12" t="s">
        <v>58</v>
      </c>
      <c r="I25" s="12">
        <v>320</v>
      </c>
      <c r="J25" s="12" t="s">
        <v>79</v>
      </c>
      <c r="K25" s="15">
        <v>9</v>
      </c>
      <c r="L25" s="15">
        <v>2880</v>
      </c>
      <c r="N25" s="17" t="s">
        <v>73</v>
      </c>
      <c r="O25" s="18">
        <v>20080</v>
      </c>
      <c r="P25" s="18">
        <v>251</v>
      </c>
      <c r="R25" s="20" t="str">
        <f t="shared" si="0"/>
        <v>Tuerca Hexagonal Grado 2 5/8 NR</v>
      </c>
      <c r="S25" s="20" t="s">
        <v>150</v>
      </c>
      <c r="T25" s="22">
        <v>88</v>
      </c>
      <c r="U25" s="21">
        <v>56</v>
      </c>
      <c r="V25" s="21">
        <v>0</v>
      </c>
      <c r="W25" s="20" t="s">
        <v>142</v>
      </c>
      <c r="X25" s="23">
        <v>0</v>
      </c>
    </row>
    <row r="26" spans="1:24" hidden="1">
      <c r="A26" s="9">
        <v>1960</v>
      </c>
      <c r="B26" s="13">
        <v>445</v>
      </c>
      <c r="C26" s="9" t="s">
        <v>71</v>
      </c>
      <c r="D26" s="13">
        <v>56</v>
      </c>
      <c r="E26" s="13">
        <v>24920</v>
      </c>
      <c r="G26" s="12" t="s">
        <v>104</v>
      </c>
      <c r="H26" s="12" t="s">
        <v>58</v>
      </c>
      <c r="I26" s="12">
        <v>208</v>
      </c>
      <c r="J26" s="12" t="s">
        <v>79</v>
      </c>
      <c r="K26" s="15">
        <v>9</v>
      </c>
      <c r="L26" s="15">
        <v>1872</v>
      </c>
      <c r="N26" s="17" t="s">
        <v>71</v>
      </c>
      <c r="O26" s="18">
        <v>24920</v>
      </c>
      <c r="P26" s="18">
        <v>445</v>
      </c>
      <c r="R26" s="20" t="str">
        <f t="shared" si="0"/>
        <v>Tuerca Hexagonal Grado 2 5/8 NR</v>
      </c>
      <c r="S26" s="20" t="s">
        <v>151</v>
      </c>
      <c r="T26" s="22">
        <v>88</v>
      </c>
      <c r="U26" s="21">
        <v>156</v>
      </c>
      <c r="V26" s="21">
        <v>0</v>
      </c>
      <c r="W26" s="20" t="s">
        <v>152</v>
      </c>
      <c r="X26" s="23">
        <v>0</v>
      </c>
    </row>
    <row r="27" spans="1:24" hidden="1">
      <c r="A27" s="9">
        <v>1960</v>
      </c>
      <c r="B27" s="13">
        <v>38</v>
      </c>
      <c r="C27" s="9" t="s">
        <v>72</v>
      </c>
      <c r="D27" s="13">
        <v>40</v>
      </c>
      <c r="E27" s="13">
        <v>1520</v>
      </c>
      <c r="G27" s="12" t="s">
        <v>105</v>
      </c>
      <c r="H27" s="12" t="s">
        <v>59</v>
      </c>
      <c r="I27" s="12">
        <v>156</v>
      </c>
      <c r="J27" s="12" t="s">
        <v>79</v>
      </c>
      <c r="K27" s="15">
        <v>21</v>
      </c>
      <c r="L27" s="15">
        <v>3276</v>
      </c>
      <c r="N27" s="17" t="s">
        <v>67</v>
      </c>
      <c r="O27" s="18">
        <v>80640</v>
      </c>
      <c r="P27" s="18">
        <v>1008</v>
      </c>
      <c r="R27" s="20" t="str">
        <f t="shared" si="0"/>
        <v>Golilla Plana 1/4 NR</v>
      </c>
      <c r="S27" s="20" t="s">
        <v>153</v>
      </c>
      <c r="T27" s="22">
        <v>8</v>
      </c>
      <c r="U27" s="21">
        <v>40</v>
      </c>
      <c r="V27" s="21">
        <v>0</v>
      </c>
      <c r="W27" s="20" t="s">
        <v>131</v>
      </c>
      <c r="X27" s="23">
        <v>0</v>
      </c>
    </row>
    <row r="28" spans="1:24" hidden="1">
      <c r="A28" s="9">
        <v>1960</v>
      </c>
      <c r="B28" s="13">
        <v>251</v>
      </c>
      <c r="C28" s="9" t="s">
        <v>73</v>
      </c>
      <c r="D28" s="13">
        <v>80</v>
      </c>
      <c r="E28" s="13">
        <v>20080</v>
      </c>
      <c r="G28" s="12" t="s">
        <v>105</v>
      </c>
      <c r="H28" s="12" t="s">
        <v>59</v>
      </c>
      <c r="I28" s="12">
        <v>56</v>
      </c>
      <c r="J28" s="12" t="s">
        <v>79</v>
      </c>
      <c r="K28" s="15">
        <v>21</v>
      </c>
      <c r="L28" s="15">
        <v>1176</v>
      </c>
      <c r="N28" s="17" t="s">
        <v>117</v>
      </c>
      <c r="O28" s="18">
        <v>598744</v>
      </c>
      <c r="P28" s="18">
        <v>77.254901960784309</v>
      </c>
      <c r="R28" s="20" t="str">
        <f t="shared" si="0"/>
        <v>Golilla Plana 3/8 NR</v>
      </c>
      <c r="S28" s="20" t="s">
        <v>154</v>
      </c>
      <c r="T28" s="22">
        <v>11</v>
      </c>
      <c r="U28" s="21">
        <v>208</v>
      </c>
      <c r="V28" s="21">
        <v>0</v>
      </c>
      <c r="W28" s="20" t="s">
        <v>137</v>
      </c>
      <c r="X28" s="23">
        <v>0</v>
      </c>
    </row>
    <row r="29" spans="1:24" hidden="1">
      <c r="A29" s="9">
        <v>1972</v>
      </c>
      <c r="B29" s="13">
        <v>25</v>
      </c>
      <c r="C29" s="9" t="s">
        <v>45</v>
      </c>
      <c r="D29" s="13">
        <v>1040</v>
      </c>
      <c r="E29" s="13">
        <v>26000</v>
      </c>
      <c r="G29" s="12" t="s">
        <v>86</v>
      </c>
      <c r="H29" s="12" t="s">
        <v>67</v>
      </c>
      <c r="I29" s="12">
        <v>80</v>
      </c>
      <c r="J29" s="12" t="s">
        <v>79</v>
      </c>
      <c r="K29" s="15">
        <v>1008</v>
      </c>
      <c r="L29" s="15">
        <v>80640</v>
      </c>
      <c r="R29" s="20" t="str">
        <f t="shared" si="0"/>
        <v>Golilla Plana 5/8 NR</v>
      </c>
      <c r="S29" s="20" t="s">
        <v>155</v>
      </c>
      <c r="T29" s="22">
        <v>32</v>
      </c>
      <c r="U29" s="21">
        <v>56</v>
      </c>
      <c r="V29" s="21">
        <v>0</v>
      </c>
      <c r="W29" s="20" t="s">
        <v>142</v>
      </c>
      <c r="X29" s="23">
        <v>0</v>
      </c>
    </row>
    <row r="30" spans="1:24" hidden="1">
      <c r="A30" s="9">
        <v>1972</v>
      </c>
      <c r="B30" s="13">
        <v>26</v>
      </c>
      <c r="C30" s="9" t="s">
        <v>46</v>
      </c>
      <c r="D30" s="13">
        <v>1040</v>
      </c>
      <c r="E30" s="13">
        <v>27040</v>
      </c>
      <c r="G30" s="12" t="s">
        <v>82</v>
      </c>
      <c r="H30" s="12" t="s">
        <v>64</v>
      </c>
      <c r="I30" s="12">
        <v>120</v>
      </c>
      <c r="J30" s="12" t="s">
        <v>79</v>
      </c>
      <c r="K30" s="15">
        <v>132</v>
      </c>
      <c r="L30" s="15">
        <v>15840</v>
      </c>
      <c r="R30" s="20" t="str">
        <f t="shared" si="0"/>
        <v>Golilla Presión 1/2 NR</v>
      </c>
      <c r="S30" s="20" t="s">
        <v>127</v>
      </c>
      <c r="T30" s="22">
        <v>26</v>
      </c>
      <c r="U30" s="21">
        <v>120</v>
      </c>
      <c r="V30" s="21">
        <v>0</v>
      </c>
      <c r="W30" s="20" t="s">
        <v>126</v>
      </c>
      <c r="X30" s="23">
        <v>0</v>
      </c>
    </row>
    <row r="31" spans="1:24" hidden="1">
      <c r="G31" s="12" t="s">
        <v>110</v>
      </c>
      <c r="H31" s="12" t="s">
        <v>64</v>
      </c>
      <c r="I31" s="12">
        <v>4</v>
      </c>
      <c r="J31" s="12" t="s">
        <v>79</v>
      </c>
      <c r="K31" s="15">
        <v>132</v>
      </c>
      <c r="L31" s="15">
        <v>528</v>
      </c>
      <c r="R31" s="20" t="str">
        <f t="shared" si="0"/>
        <v>Golilla Presión 1/2 NR</v>
      </c>
      <c r="S31" s="20" t="s">
        <v>127</v>
      </c>
      <c r="T31" s="22">
        <v>26</v>
      </c>
      <c r="U31" s="24">
        <v>1400</v>
      </c>
      <c r="V31" s="21">
        <v>0</v>
      </c>
      <c r="W31" s="20" t="s">
        <v>156</v>
      </c>
      <c r="X31" s="23">
        <v>0</v>
      </c>
    </row>
    <row r="32" spans="1:24" hidden="1">
      <c r="G32" s="12" t="s">
        <v>113</v>
      </c>
      <c r="H32" s="12" t="s">
        <v>64</v>
      </c>
      <c r="I32" s="12">
        <v>280</v>
      </c>
      <c r="J32" s="12" t="s">
        <v>79</v>
      </c>
      <c r="K32" s="15">
        <v>132</v>
      </c>
      <c r="L32" s="15">
        <v>36960</v>
      </c>
      <c r="R32" s="20" t="str">
        <f t="shared" si="0"/>
        <v>Golilla Presión 1/4 NR</v>
      </c>
      <c r="S32" s="20" t="s">
        <v>157</v>
      </c>
      <c r="T32" s="22">
        <v>6</v>
      </c>
      <c r="U32" s="21">
        <v>40</v>
      </c>
      <c r="V32" s="21">
        <v>0</v>
      </c>
      <c r="W32" s="20" t="s">
        <v>131</v>
      </c>
      <c r="X32" s="23">
        <v>0</v>
      </c>
    </row>
    <row r="33" spans="7:24" hidden="1">
      <c r="G33" s="12" t="s">
        <v>115</v>
      </c>
      <c r="H33" s="12" t="s">
        <v>64</v>
      </c>
      <c r="I33" s="12">
        <v>616</v>
      </c>
      <c r="J33" s="12" t="s">
        <v>79</v>
      </c>
      <c r="K33" s="15">
        <v>132</v>
      </c>
      <c r="L33" s="15">
        <v>81312</v>
      </c>
      <c r="R33" s="20" t="str">
        <f t="shared" si="0"/>
        <v>Golilla Presión 3/4 NR</v>
      </c>
      <c r="S33" s="20" t="s">
        <v>158</v>
      </c>
      <c r="T33" s="22">
        <v>66</v>
      </c>
      <c r="U33" s="21">
        <v>80</v>
      </c>
      <c r="V33" s="21">
        <v>0</v>
      </c>
      <c r="W33" s="20" t="s">
        <v>133</v>
      </c>
      <c r="X33" s="23">
        <v>0</v>
      </c>
    </row>
    <row r="34" spans="7:24" hidden="1">
      <c r="G34" s="12" t="s">
        <v>84</v>
      </c>
      <c r="H34" s="12" t="s">
        <v>65</v>
      </c>
      <c r="I34" s="12">
        <v>20</v>
      </c>
      <c r="J34" s="12" t="s">
        <v>79</v>
      </c>
      <c r="K34" s="15">
        <v>171</v>
      </c>
      <c r="L34" s="15">
        <v>3420</v>
      </c>
      <c r="R34" s="20" t="str">
        <f t="shared" si="0"/>
        <v>Golilla Presión 3/8 NR</v>
      </c>
      <c r="S34" s="20" t="s">
        <v>159</v>
      </c>
      <c r="T34" s="22">
        <v>9</v>
      </c>
      <c r="U34" s="21">
        <v>320</v>
      </c>
      <c r="V34" s="21">
        <v>0</v>
      </c>
      <c r="W34" s="20" t="s">
        <v>160</v>
      </c>
      <c r="X34" s="23">
        <v>0</v>
      </c>
    </row>
    <row r="35" spans="7:24" hidden="1">
      <c r="G35" s="12" t="s">
        <v>109</v>
      </c>
      <c r="H35" s="12" t="s">
        <v>49</v>
      </c>
      <c r="I35" s="12">
        <v>268</v>
      </c>
      <c r="J35" s="12" t="s">
        <v>79</v>
      </c>
      <c r="K35" s="15">
        <v>103</v>
      </c>
      <c r="L35" s="15">
        <v>27604</v>
      </c>
      <c r="R35" s="20" t="str">
        <f t="shared" si="0"/>
        <v>Golilla Presión 3/8 NR</v>
      </c>
      <c r="S35" s="20" t="s">
        <v>159</v>
      </c>
      <c r="T35" s="22">
        <v>9</v>
      </c>
      <c r="U35" s="21">
        <v>208</v>
      </c>
      <c r="V35" s="21">
        <v>0</v>
      </c>
      <c r="W35" s="20" t="s">
        <v>137</v>
      </c>
      <c r="X35" s="23">
        <v>0</v>
      </c>
    </row>
    <row r="36" spans="7:24" hidden="1">
      <c r="G36" s="12" t="s">
        <v>85</v>
      </c>
      <c r="H36" s="12" t="s">
        <v>66</v>
      </c>
      <c r="I36" s="12">
        <v>40</v>
      </c>
      <c r="J36" s="12" t="s">
        <v>79</v>
      </c>
      <c r="K36" s="15">
        <v>18</v>
      </c>
      <c r="L36" s="15">
        <v>720</v>
      </c>
      <c r="R36" s="20" t="str">
        <f t="shared" si="0"/>
        <v>Golilla Presión 5/8 NR</v>
      </c>
      <c r="S36" s="20" t="s">
        <v>161</v>
      </c>
      <c r="T36" s="22">
        <v>21</v>
      </c>
      <c r="U36" s="21">
        <v>156</v>
      </c>
      <c r="V36" s="21">
        <v>0</v>
      </c>
      <c r="W36" s="20" t="s">
        <v>152</v>
      </c>
      <c r="X36" s="23">
        <v>0</v>
      </c>
    </row>
    <row r="37" spans="7:24" hidden="1">
      <c r="G37" s="12" t="s">
        <v>88</v>
      </c>
      <c r="H37" s="12" t="s">
        <v>69</v>
      </c>
      <c r="I37" s="12">
        <v>208</v>
      </c>
      <c r="J37" s="12" t="s">
        <v>79</v>
      </c>
      <c r="K37" s="15">
        <v>54</v>
      </c>
      <c r="L37" s="15">
        <v>11232</v>
      </c>
      <c r="R37" s="20" t="str">
        <f t="shared" si="0"/>
        <v>Golilla Presión 5/8 NR</v>
      </c>
      <c r="S37" s="20" t="s">
        <v>161</v>
      </c>
      <c r="T37" s="22">
        <v>21</v>
      </c>
      <c r="U37" s="21">
        <v>56</v>
      </c>
      <c r="V37" s="21">
        <v>0</v>
      </c>
      <c r="W37" s="20" t="s">
        <v>142</v>
      </c>
      <c r="X37" s="23">
        <v>0</v>
      </c>
    </row>
    <row r="38" spans="7:24" hidden="1">
      <c r="G38" s="12" t="s">
        <v>87</v>
      </c>
      <c r="H38" s="12" t="s">
        <v>68</v>
      </c>
      <c r="I38" s="12">
        <v>140</v>
      </c>
      <c r="J38" s="12" t="s">
        <v>79</v>
      </c>
      <c r="K38" s="15">
        <v>68</v>
      </c>
      <c r="L38" s="15">
        <v>9520</v>
      </c>
      <c r="R38" s="20" t="str">
        <f t="shared" si="0"/>
        <v>Golilla Plana 1/2 NR</v>
      </c>
      <c r="S38" s="20" t="s">
        <v>162</v>
      </c>
      <c r="T38" s="22">
        <v>25</v>
      </c>
      <c r="U38" s="21">
        <v>120</v>
      </c>
      <c r="V38" s="21">
        <v>0</v>
      </c>
      <c r="W38" s="20" t="s">
        <v>126</v>
      </c>
      <c r="X38" s="23">
        <v>0</v>
      </c>
    </row>
    <row r="39" spans="7:24" hidden="1">
      <c r="G39" s="12" t="s">
        <v>90</v>
      </c>
      <c r="H39" s="12" t="s">
        <v>68</v>
      </c>
      <c r="I39" s="12">
        <v>120</v>
      </c>
      <c r="J39" s="12" t="s">
        <v>79</v>
      </c>
      <c r="K39" s="15">
        <v>68</v>
      </c>
      <c r="L39" s="15">
        <v>8160</v>
      </c>
      <c r="R39" s="20" t="str">
        <f t="shared" si="0"/>
        <v>Golilla Plana 1/2 NR</v>
      </c>
      <c r="S39" s="20" t="s">
        <v>162</v>
      </c>
      <c r="T39" s="22">
        <v>25</v>
      </c>
      <c r="U39" s="21">
        <v>156</v>
      </c>
      <c r="V39" s="21">
        <v>0</v>
      </c>
      <c r="W39" s="20" t="s">
        <v>152</v>
      </c>
      <c r="X39" s="23">
        <v>0</v>
      </c>
    </row>
    <row r="40" spans="7:24" hidden="1">
      <c r="G40" s="12" t="s">
        <v>89</v>
      </c>
      <c r="H40" s="12" t="s">
        <v>70</v>
      </c>
      <c r="I40" s="12">
        <v>60</v>
      </c>
      <c r="J40" s="12" t="s">
        <v>79</v>
      </c>
      <c r="K40" s="15">
        <v>58</v>
      </c>
      <c r="L40" s="15">
        <v>3480</v>
      </c>
      <c r="R40" s="20" t="str">
        <f t="shared" si="0"/>
        <v>Golilla Plana 3/4 NR</v>
      </c>
      <c r="S40" s="20" t="s">
        <v>163</v>
      </c>
      <c r="T40" s="22">
        <v>60</v>
      </c>
      <c r="U40" s="21">
        <v>80</v>
      </c>
      <c r="V40" s="21">
        <v>0</v>
      </c>
      <c r="W40" s="20" t="s">
        <v>133</v>
      </c>
      <c r="X40" s="23">
        <v>0</v>
      </c>
    </row>
    <row r="41" spans="7:24" hidden="1">
      <c r="G41" s="12" t="s">
        <v>91</v>
      </c>
      <c r="H41" s="12" t="s">
        <v>71</v>
      </c>
      <c r="I41" s="12">
        <v>56</v>
      </c>
      <c r="J41" s="12" t="s">
        <v>79</v>
      </c>
      <c r="K41" s="15">
        <v>445</v>
      </c>
      <c r="L41" s="15">
        <v>24920</v>
      </c>
      <c r="R41" s="20" t="str">
        <f t="shared" si="0"/>
        <v>Golilla Plana 3/8 NR</v>
      </c>
      <c r="S41" s="20" t="s">
        <v>164</v>
      </c>
      <c r="T41" s="22">
        <v>11</v>
      </c>
      <c r="U41" s="21">
        <v>320</v>
      </c>
      <c r="V41" s="21">
        <v>0</v>
      </c>
      <c r="W41" s="20" t="s">
        <v>160</v>
      </c>
      <c r="X41" s="23">
        <v>0</v>
      </c>
    </row>
    <row r="42" spans="7:24" hidden="1">
      <c r="G42" s="12" t="s">
        <v>78</v>
      </c>
      <c r="H42" s="12" t="s">
        <v>61</v>
      </c>
      <c r="I42" s="12">
        <v>616</v>
      </c>
      <c r="J42" s="12" t="s">
        <v>79</v>
      </c>
      <c r="K42" s="15">
        <v>45</v>
      </c>
      <c r="L42" s="15">
        <v>27720</v>
      </c>
      <c r="R42" s="20" t="str">
        <f t="shared" si="0"/>
        <v>Golilla Plana 5/8 NR</v>
      </c>
      <c r="S42" s="20" t="s">
        <v>155</v>
      </c>
      <c r="T42" s="22">
        <v>32</v>
      </c>
      <c r="U42" s="21">
        <v>156</v>
      </c>
      <c r="V42" s="21">
        <v>0</v>
      </c>
      <c r="W42" s="20" t="s">
        <v>152</v>
      </c>
      <c r="X42" s="23">
        <v>0</v>
      </c>
    </row>
    <row r="43" spans="7:24" hidden="1">
      <c r="G43" s="12" t="s">
        <v>78</v>
      </c>
      <c r="H43" s="12" t="s">
        <v>61</v>
      </c>
      <c r="I43" s="12">
        <v>120</v>
      </c>
      <c r="J43" s="12" t="s">
        <v>79</v>
      </c>
      <c r="K43" s="15">
        <v>45</v>
      </c>
      <c r="L43" s="15">
        <v>5400</v>
      </c>
      <c r="R43" s="20" t="str">
        <f t="shared" si="0"/>
        <v>Perno Hexagonal Grado 2 1/2X1 Pulg ​</v>
      </c>
      <c r="S43" s="20" t="s">
        <v>165</v>
      </c>
      <c r="T43" s="22">
        <v>103</v>
      </c>
      <c r="U43" s="21">
        <v>268</v>
      </c>
      <c r="V43" s="21">
        <v>0</v>
      </c>
      <c r="W43" s="20" t="s">
        <v>166</v>
      </c>
      <c r="X43" s="23">
        <v>0</v>
      </c>
    </row>
    <row r="44" spans="7:24" hidden="1">
      <c r="G44" s="12" t="s">
        <v>78</v>
      </c>
      <c r="H44" s="12" t="s">
        <v>61</v>
      </c>
      <c r="I44" s="12">
        <v>20</v>
      </c>
      <c r="J44" s="12" t="s">
        <v>79</v>
      </c>
      <c r="K44" s="15">
        <v>45</v>
      </c>
      <c r="L44" s="15">
        <v>900</v>
      </c>
      <c r="R44" s="20" t="str">
        <f t="shared" si="0"/>
        <v>Perno Hexagonal Grado 2 1/2 x 1.1/2 NR ​</v>
      </c>
      <c r="S44" s="20" t="s">
        <v>167</v>
      </c>
      <c r="T44" s="22">
        <v>132</v>
      </c>
      <c r="U44" s="21">
        <v>4</v>
      </c>
      <c r="V44" s="21">
        <v>0</v>
      </c>
      <c r="W44" s="20" t="s">
        <v>168</v>
      </c>
      <c r="X44" s="23">
        <v>0</v>
      </c>
    </row>
    <row r="45" spans="7:24" hidden="1">
      <c r="G45" s="12" t="s">
        <v>112</v>
      </c>
      <c r="H45" s="12" t="s">
        <v>61</v>
      </c>
      <c r="I45" s="12">
        <v>4</v>
      </c>
      <c r="J45" s="12" t="s">
        <v>79</v>
      </c>
      <c r="K45" s="15">
        <v>45</v>
      </c>
      <c r="L45" s="15">
        <v>180</v>
      </c>
      <c r="R45" s="20" t="str">
        <f t="shared" si="0"/>
        <v>Golilla Plana 1/2 NR</v>
      </c>
      <c r="S45" s="20" t="s">
        <v>169</v>
      </c>
      <c r="T45" s="22">
        <v>25</v>
      </c>
      <c r="U45" s="21">
        <v>4</v>
      </c>
      <c r="V45" s="21">
        <v>0</v>
      </c>
      <c r="W45" s="20" t="s">
        <v>168</v>
      </c>
      <c r="X45" s="23">
        <v>0</v>
      </c>
    </row>
    <row r="46" spans="7:24" hidden="1">
      <c r="G46" s="12" t="s">
        <v>114</v>
      </c>
      <c r="H46" s="12" t="s">
        <v>61</v>
      </c>
      <c r="I46" s="12">
        <v>280</v>
      </c>
      <c r="J46" s="12" t="s">
        <v>79</v>
      </c>
      <c r="K46" s="15">
        <v>45</v>
      </c>
      <c r="L46" s="15">
        <v>12600</v>
      </c>
      <c r="R46" s="20" t="str">
        <f t="shared" si="0"/>
        <v>Golilla Presión 1/2 NR</v>
      </c>
      <c r="S46" s="20" t="s">
        <v>170</v>
      </c>
      <c r="T46" s="22">
        <v>26</v>
      </c>
      <c r="U46" s="21">
        <v>4</v>
      </c>
      <c r="V46" s="21">
        <v>0</v>
      </c>
      <c r="W46" s="20" t="s">
        <v>168</v>
      </c>
      <c r="X46" s="23">
        <v>0</v>
      </c>
    </row>
    <row r="47" spans="7:24" hidden="1">
      <c r="G47" s="12" t="s">
        <v>92</v>
      </c>
      <c r="H47" s="12" t="s">
        <v>48</v>
      </c>
      <c r="I47" s="12">
        <v>1520</v>
      </c>
      <c r="J47" s="12" t="s">
        <v>79</v>
      </c>
      <c r="K47" s="15">
        <v>42</v>
      </c>
      <c r="L47" s="15">
        <v>63840</v>
      </c>
      <c r="R47" s="20" t="str">
        <f t="shared" si="0"/>
        <v>Tuerca Hexagonal Grado 2 1/2 NR</v>
      </c>
      <c r="S47" s="20" t="s">
        <v>171</v>
      </c>
      <c r="T47" s="22">
        <v>45</v>
      </c>
      <c r="U47" s="21">
        <v>4</v>
      </c>
      <c r="V47" s="21">
        <v>0</v>
      </c>
      <c r="W47" s="20" t="s">
        <v>168</v>
      </c>
      <c r="X47" s="23">
        <v>0</v>
      </c>
    </row>
    <row r="48" spans="7:24" hidden="1">
      <c r="G48" s="12" t="s">
        <v>93</v>
      </c>
      <c r="H48" s="12" t="s">
        <v>72</v>
      </c>
      <c r="I48" s="12">
        <v>40</v>
      </c>
      <c r="J48" s="12" t="s">
        <v>79</v>
      </c>
      <c r="K48" s="15">
        <v>38</v>
      </c>
      <c r="L48" s="15">
        <v>1520</v>
      </c>
      <c r="R48" s="20" t="str">
        <f t="shared" si="0"/>
        <v>Perno Hexagonal Grado 2 1/2 x 1.1/2 NR ​</v>
      </c>
      <c r="S48" s="20" t="s">
        <v>172</v>
      </c>
      <c r="T48" s="22">
        <v>132</v>
      </c>
      <c r="U48" s="21">
        <v>280</v>
      </c>
      <c r="V48" s="21">
        <v>0</v>
      </c>
      <c r="W48" s="20" t="s">
        <v>173</v>
      </c>
      <c r="X48" s="23">
        <v>0</v>
      </c>
    </row>
    <row r="49" spans="7:24" hidden="1">
      <c r="G49" s="12" t="s">
        <v>94</v>
      </c>
      <c r="H49" s="12" t="s">
        <v>73</v>
      </c>
      <c r="I49" s="12">
        <v>80</v>
      </c>
      <c r="J49" s="12" t="s">
        <v>79</v>
      </c>
      <c r="K49" s="15">
        <v>251</v>
      </c>
      <c r="L49" s="15">
        <v>20080</v>
      </c>
      <c r="R49" s="20" t="str">
        <f t="shared" si="0"/>
        <v>Golilla Plana 1/2 NR</v>
      </c>
      <c r="S49" s="20" t="s">
        <v>123</v>
      </c>
      <c r="T49" s="22">
        <v>25</v>
      </c>
      <c r="U49" s="21">
        <v>280</v>
      </c>
      <c r="V49" s="21">
        <v>0</v>
      </c>
      <c r="W49" s="20" t="s">
        <v>173</v>
      </c>
      <c r="X49" s="23">
        <v>0</v>
      </c>
    </row>
    <row r="50" spans="7:24" hidden="1">
      <c r="G50" s="12" t="s">
        <v>95</v>
      </c>
      <c r="H50" s="12" t="s">
        <v>51</v>
      </c>
      <c r="I50" s="12">
        <v>180</v>
      </c>
      <c r="J50" s="12" t="s">
        <v>79</v>
      </c>
      <c r="K50" s="15">
        <v>22</v>
      </c>
      <c r="L50" s="15">
        <v>3960</v>
      </c>
      <c r="R50" s="20" t="str">
        <f t="shared" si="0"/>
        <v>Golilla Presión 1/2 NR</v>
      </c>
      <c r="S50" s="20" t="s">
        <v>124</v>
      </c>
      <c r="T50" s="22">
        <v>26</v>
      </c>
      <c r="U50" s="21">
        <v>280</v>
      </c>
      <c r="V50" s="21">
        <v>0</v>
      </c>
      <c r="W50" s="20" t="s">
        <v>173</v>
      </c>
      <c r="X50" s="23">
        <v>0</v>
      </c>
    </row>
    <row r="51" spans="7:24" hidden="1">
      <c r="G51" s="12" t="s">
        <v>96</v>
      </c>
      <c r="H51" s="12" t="s">
        <v>51</v>
      </c>
      <c r="I51" s="12">
        <v>348</v>
      </c>
      <c r="J51" s="12" t="s">
        <v>79</v>
      </c>
      <c r="K51" s="15">
        <v>22</v>
      </c>
      <c r="L51" s="15">
        <v>7656</v>
      </c>
      <c r="R51" s="20" t="str">
        <f t="shared" si="0"/>
        <v>Tuerca Hexagonal Grado 2 1/2 NR</v>
      </c>
      <c r="S51" s="20" t="s">
        <v>174</v>
      </c>
      <c r="T51" s="22">
        <v>45</v>
      </c>
      <c r="U51" s="21">
        <v>280</v>
      </c>
      <c r="V51" s="21">
        <v>0</v>
      </c>
      <c r="W51" s="20" t="s">
        <v>173</v>
      </c>
      <c r="X51" s="23">
        <v>0</v>
      </c>
    </row>
    <row r="52" spans="7:24" hidden="1">
      <c r="G52" s="12" t="s">
        <v>97</v>
      </c>
      <c r="H52" s="12" t="s">
        <v>52</v>
      </c>
      <c r="I52" s="12">
        <v>56</v>
      </c>
      <c r="J52" s="12" t="s">
        <v>79</v>
      </c>
      <c r="K52" s="15">
        <v>88</v>
      </c>
      <c r="L52" s="15">
        <v>4928</v>
      </c>
      <c r="R52" s="20" t="str">
        <f t="shared" si="0"/>
        <v>Perno Hexagonal Grado 2 1/2 x 1.1/2 NR ​</v>
      </c>
      <c r="S52" s="20" t="s">
        <v>175</v>
      </c>
      <c r="T52" s="22">
        <v>132</v>
      </c>
      <c r="U52" s="21">
        <v>616</v>
      </c>
      <c r="V52" s="21">
        <v>0</v>
      </c>
      <c r="W52" s="20" t="s">
        <v>122</v>
      </c>
      <c r="X52" s="23">
        <v>0</v>
      </c>
    </row>
    <row r="53" spans="7:24">
      <c r="G53" s="12" t="s">
        <v>98</v>
      </c>
      <c r="H53" s="12" t="s">
        <v>52</v>
      </c>
      <c r="I53" s="12">
        <v>156</v>
      </c>
      <c r="J53" s="12" t="s">
        <v>79</v>
      </c>
      <c r="K53" s="15">
        <v>88</v>
      </c>
      <c r="L53" s="15">
        <v>13728</v>
      </c>
    </row>
  </sheetData>
  <autoFilter ref="R1:S52" xr:uid="{07ED76D3-9DCD-AF46-93A0-3260D7DD697E}">
    <filterColumn colId="0">
      <filters>
        <filter val="Tuerca Hexagonal Grado 2 3/8 N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Analisis</vt:lpstr>
      <vt:lpstr>GD 1972-1960-1959</vt:lpstr>
      <vt:lpstr>Analisis!Área_de_impresión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Sepúlveda Iturra</dc:creator>
  <cp:lastModifiedBy>Gonzalo Sepúlveda Iturra</cp:lastModifiedBy>
  <cp:lastPrinted>2026-03-19T21:05:42Z</cp:lastPrinted>
  <dcterms:created xsi:type="dcterms:W3CDTF">2026-03-19T18:47:38Z</dcterms:created>
  <dcterms:modified xsi:type="dcterms:W3CDTF">2026-03-20T01:14:53Z</dcterms:modified>
</cp:coreProperties>
</file>
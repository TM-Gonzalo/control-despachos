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pro/Downloads/"/>
    </mc:Choice>
  </mc:AlternateContent>
  <xr:revisionPtr revIDLastSave="0" documentId="13_ncr:1_{1DCAA024-435F-8C4B-897F-2EA99ADD6712}" xr6:coauthVersionLast="47" xr6:coauthVersionMax="47" xr10:uidLastSave="{00000000-0000-0000-0000-000000000000}"/>
  <bookViews>
    <workbookView xWindow="41840" yWindow="3240" windowWidth="22940" windowHeight="13820" xr2:uid="{26E64A34-3951-0042-9156-5BB1A87D010F}"/>
  </bookViews>
  <sheets>
    <sheet name="Reportes" sheetId="1" r:id="rId1"/>
  </sheets>
  <definedNames>
    <definedName name="_xlnm._FilterDatabase" localSheetId="0" hidden="1">Reportes!$A$6:$B$6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7" i="1"/>
  <c r="K31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7" i="1"/>
  <c r="B8" i="1"/>
  <c r="B11" i="1"/>
  <c r="B13" i="1"/>
  <c r="B14" i="1"/>
  <c r="B15" i="1"/>
  <c r="B16" i="1"/>
  <c r="B23" i="1"/>
  <c r="B24" i="1"/>
  <c r="B25" i="1"/>
  <c r="B28" i="1"/>
  <c r="B27" i="1"/>
  <c r="B22" i="1"/>
  <c r="B21" i="1"/>
  <c r="B19" i="1"/>
  <c r="B18" i="1"/>
  <c r="B17" i="1"/>
  <c r="B10" i="1"/>
  <c r="B7" i="1"/>
  <c r="B29" i="1"/>
  <c r="B12" i="1"/>
  <c r="B26" i="1"/>
  <c r="B9" i="1"/>
  <c r="B20" i="1"/>
  <c r="C31" i="1" l="1"/>
</calcChain>
</file>

<file path=xl/sharedStrings.xml><?xml version="1.0" encoding="utf-8"?>
<sst xmlns="http://schemas.openxmlformats.org/spreadsheetml/2006/main" count="120" uniqueCount="67">
  <si>
    <t>TECNICA NACIONAL DE SERVICIOS INGENIERIA Y CONSTRUCCION S.A. · 1 FACTURA · $1.224.059</t>
  </si>
  <si>
    <t>OBRAS SUBTERRANEAS S.A. AGENCIA EN CHILE · 1 FACTURA · $1.019.590</t>
  </si>
  <si>
    <t>ECHEVERRÍA IZQUIERDO MONTAJES INDUSTRIALES S.A. · 1 FACTURA · $116.822</t>
  </si>
  <si>
    <t>PIQUES Y TÚNELES S.A. · 1 FACTURA · $2.873.850</t>
  </si>
  <si>
    <t>SERVICIOS AVO II SPA · 10 FACTURAS · $39.168.385</t>
  </si>
  <si>
    <t>SYNCORE MONTAJES SPA · 8 FACTURAS · $11.042.723</t>
  </si>
  <si>
    <t>SERVICIOS COVI SPA · 1 FACTURA · $2.135.610</t>
  </si>
  <si>
    <r>
      <t>Factura 1883</t>
    </r>
    <r>
      <rPr>
        <sz val="10"/>
        <rFont val="Courier New"/>
        <family val="1"/>
      </rPr>
      <t>2026-03-09</t>
    </r>
    <r>
      <rPr>
        <sz val="10"/>
        <rFont val="Courier New"/>
        <family val="1"/>
      </rPr>
      <t>OC OT-03364-815· GD 1963</t>
    </r>
    <r>
      <rPr>
        <sz val="11"/>
        <rFont val="Courier New"/>
        <family val="1"/>
      </rPr>
      <t>$1.224.059</t>
    </r>
  </si>
  <si>
    <r>
      <t>Factura 1872</t>
    </r>
    <r>
      <rPr>
        <sz val="10"/>
        <rFont val="Courier New"/>
        <family val="1"/>
      </rPr>
      <t>2026-03-04</t>
    </r>
    <r>
      <rPr>
        <sz val="10"/>
        <rFont val="Courier New"/>
        <family val="1"/>
      </rPr>
      <t>OC M1-0035· GD 1948</t>
    </r>
    <r>
      <rPr>
        <sz val="11"/>
        <rFont val="Courier New"/>
        <family val="1"/>
      </rPr>
      <t>$1.019.590</t>
    </r>
  </si>
  <si>
    <r>
      <t>Factura 1891</t>
    </r>
    <r>
      <rPr>
        <sz val="10"/>
        <rFont val="Courier New"/>
        <family val="1"/>
      </rPr>
      <t>2026-03-11</t>
    </r>
    <r>
      <rPr>
        <sz val="10"/>
        <rFont val="Courier New"/>
        <family val="1"/>
      </rPr>
      <t>OC EIMI-072012· GD 1955</t>
    </r>
    <r>
      <rPr>
        <sz val="11"/>
        <rFont val="Courier New"/>
        <family val="1"/>
      </rPr>
      <t>$116.822</t>
    </r>
  </si>
  <si>
    <r>
      <t>Factura 1875</t>
    </r>
    <r>
      <rPr>
        <sz val="10"/>
        <rFont val="Courier New"/>
        <family val="1"/>
      </rPr>
      <t>2026-03-04</t>
    </r>
    <r>
      <rPr>
        <sz val="10"/>
        <rFont val="Courier New"/>
        <family val="1"/>
      </rPr>
      <t>OC C101-PC010501· GD 1951</t>
    </r>
    <r>
      <rPr>
        <sz val="11"/>
        <rFont val="Courier New"/>
        <family val="1"/>
      </rPr>
      <t>$2.873.850</t>
    </r>
  </si>
  <si>
    <r>
      <t>Factura 1894</t>
    </r>
    <r>
      <rPr>
        <sz val="10"/>
        <rFont val="Courier New"/>
        <family val="1"/>
      </rPr>
      <t>2026-03-11</t>
    </r>
    <r>
      <rPr>
        <sz val="10"/>
        <rFont val="Courier New"/>
        <family val="1"/>
      </rPr>
      <t>OC 4500104257</t>
    </r>
    <r>
      <rPr>
        <sz val="11"/>
        <rFont val="Courier New"/>
        <family val="1"/>
      </rPr>
      <t>$9.136.466</t>
    </r>
  </si>
  <si>
    <r>
      <t>Factura 1893</t>
    </r>
    <r>
      <rPr>
        <sz val="10"/>
        <rFont val="Courier New"/>
        <family val="1"/>
      </rPr>
      <t>2026-03-11</t>
    </r>
    <r>
      <rPr>
        <sz val="10"/>
        <rFont val="Courier New"/>
        <family val="1"/>
      </rPr>
      <t>OC 4500104390· GD 1973</t>
    </r>
    <r>
      <rPr>
        <sz val="11"/>
        <rFont val="Courier New"/>
        <family val="1"/>
      </rPr>
      <t>$107.695</t>
    </r>
  </si>
  <si>
    <r>
      <t>Factura 1892</t>
    </r>
    <r>
      <rPr>
        <sz val="10"/>
        <rFont val="Courier New"/>
        <family val="1"/>
      </rPr>
      <t>2026-03-11</t>
    </r>
    <r>
      <rPr>
        <sz val="10"/>
        <rFont val="Courier New"/>
        <family val="1"/>
      </rPr>
      <t>OC 4500104614· GD 1971</t>
    </r>
    <r>
      <rPr>
        <sz val="11"/>
        <rFont val="Courier New"/>
        <family val="1"/>
      </rPr>
      <t>$2.261.000</t>
    </r>
  </si>
  <si>
    <r>
      <t>Factura 1885</t>
    </r>
    <r>
      <rPr>
        <sz val="10"/>
        <rFont val="Courier New"/>
        <family val="1"/>
      </rPr>
      <t>2026-03-09</t>
    </r>
    <r>
      <rPr>
        <sz val="10"/>
        <rFont val="Courier New"/>
        <family val="1"/>
      </rPr>
      <t>OC 4500104343</t>
    </r>
    <r>
      <rPr>
        <sz val="11"/>
        <rFont val="Courier New"/>
        <family val="1"/>
      </rPr>
      <t>$10.324.630</t>
    </r>
  </si>
  <si>
    <r>
      <t>Factura 1884</t>
    </r>
    <r>
      <rPr>
        <sz val="10"/>
        <rFont val="Courier New"/>
        <family val="1"/>
      </rPr>
      <t>2026-03-09</t>
    </r>
    <r>
      <rPr>
        <sz val="10"/>
        <rFont val="Courier New"/>
        <family val="1"/>
      </rPr>
      <t>OC 4500104389</t>
    </r>
    <r>
      <rPr>
        <sz val="11"/>
        <rFont val="Courier New"/>
        <family val="1"/>
      </rPr>
      <t>$622.080</t>
    </r>
  </si>
  <si>
    <r>
      <t>Factura 1882</t>
    </r>
    <r>
      <rPr>
        <sz val="10"/>
        <rFont val="Courier New"/>
        <family val="1"/>
      </rPr>
      <t>2026-03-09</t>
    </r>
    <r>
      <rPr>
        <sz val="10"/>
        <rFont val="Courier New"/>
        <family val="1"/>
      </rPr>
      <t>OC 4500101710</t>
    </r>
    <r>
      <rPr>
        <sz val="11"/>
        <rFont val="Courier New"/>
        <family val="1"/>
      </rPr>
      <t>$3.479.846</t>
    </r>
  </si>
  <si>
    <r>
      <t>Factura 1881</t>
    </r>
    <r>
      <rPr>
        <sz val="10"/>
        <rFont val="Courier New"/>
        <family val="1"/>
      </rPr>
      <t>2026-03-09</t>
    </r>
    <r>
      <rPr>
        <sz val="10"/>
        <rFont val="Courier New"/>
        <family val="1"/>
      </rPr>
      <t>OC 4500103137</t>
    </r>
    <r>
      <rPr>
        <sz val="11"/>
        <rFont val="Courier New"/>
        <family val="1"/>
      </rPr>
      <t>$4.931.360</t>
    </r>
  </si>
  <si>
    <r>
      <t>Factura 1880</t>
    </r>
    <r>
      <rPr>
        <sz val="10"/>
        <rFont val="Courier New"/>
        <family val="1"/>
      </rPr>
      <t>2026-03-09</t>
    </r>
    <r>
      <rPr>
        <sz val="10"/>
        <rFont val="Courier New"/>
        <family val="1"/>
      </rPr>
      <t>OC 4500104429</t>
    </r>
    <r>
      <rPr>
        <sz val="11"/>
        <rFont val="Courier New"/>
        <family val="1"/>
      </rPr>
      <t>$3.808.000</t>
    </r>
  </si>
  <si>
    <r>
      <t>Factura 1873</t>
    </r>
    <r>
      <rPr>
        <sz val="10"/>
        <rFont val="Courier New"/>
        <family val="1"/>
      </rPr>
      <t>2026-03-04</t>
    </r>
    <r>
      <rPr>
        <sz val="10"/>
        <rFont val="Courier New"/>
        <family val="1"/>
      </rPr>
      <t>OC 4500103271</t>
    </r>
    <r>
      <rPr>
        <sz val="11"/>
        <rFont val="Courier New"/>
        <family val="1"/>
      </rPr>
      <t>$2.284.800</t>
    </r>
  </si>
  <si>
    <r>
      <t>Factura 1870</t>
    </r>
    <r>
      <rPr>
        <sz val="10"/>
        <rFont val="Courier New"/>
        <family val="1"/>
      </rPr>
      <t>2026-03-04</t>
    </r>
    <r>
      <rPr>
        <sz val="10"/>
        <rFont val="Courier New"/>
        <family val="1"/>
      </rPr>
      <t>OC 4500104258</t>
    </r>
    <r>
      <rPr>
        <sz val="11"/>
        <rFont val="Courier New"/>
        <family val="1"/>
      </rPr>
      <t>$2.212.508</t>
    </r>
  </si>
  <si>
    <r>
      <t>Factura 1890</t>
    </r>
    <r>
      <rPr>
        <sz val="10"/>
        <rFont val="Courier New"/>
        <family val="1"/>
      </rPr>
      <t>2026-03-10</t>
    </r>
    <r>
      <rPr>
        <sz val="10"/>
        <rFont val="Courier New"/>
        <family val="1"/>
      </rPr>
      <t>OC 28666</t>
    </r>
    <r>
      <rPr>
        <sz val="11"/>
        <rFont val="Courier New"/>
        <family val="1"/>
      </rPr>
      <t>$250.780</t>
    </r>
  </si>
  <si>
    <r>
      <t>Factura 1889</t>
    </r>
    <r>
      <rPr>
        <sz val="10"/>
        <rFont val="Courier New"/>
        <family val="1"/>
      </rPr>
      <t>2026-03-10</t>
    </r>
    <r>
      <rPr>
        <sz val="10"/>
        <rFont val="Courier New"/>
        <family val="1"/>
      </rPr>
      <t>OC 27650</t>
    </r>
    <r>
      <rPr>
        <sz val="11"/>
        <rFont val="Courier New"/>
        <family val="1"/>
      </rPr>
      <t>$470.050</t>
    </r>
  </si>
  <si>
    <r>
      <t>Factura 1886</t>
    </r>
    <r>
      <rPr>
        <sz val="10"/>
        <rFont val="Courier New"/>
        <family val="1"/>
      </rPr>
      <t>2026-03-10</t>
    </r>
    <r>
      <rPr>
        <sz val="10"/>
        <rFont val="Courier New"/>
        <family val="1"/>
      </rPr>
      <t>OC 26809</t>
    </r>
    <r>
      <rPr>
        <sz val="11"/>
        <rFont val="Courier New"/>
        <family val="1"/>
      </rPr>
      <t>$49.020</t>
    </r>
  </si>
  <si>
    <r>
      <t>Factura 1879</t>
    </r>
    <r>
      <rPr>
        <sz val="10"/>
        <rFont val="Courier New"/>
        <family val="1"/>
      </rPr>
      <t>2026-03-09</t>
    </r>
    <r>
      <rPr>
        <sz val="10"/>
        <rFont val="Courier New"/>
        <family val="1"/>
      </rPr>
      <t>OC 28348</t>
    </r>
    <r>
      <rPr>
        <sz val="11"/>
        <rFont val="Courier New"/>
        <family val="1"/>
      </rPr>
      <t>$420.844</t>
    </r>
  </si>
  <si>
    <r>
      <t>Factura 1878</t>
    </r>
    <r>
      <rPr>
        <sz val="10"/>
        <rFont val="Courier New"/>
        <family val="1"/>
      </rPr>
      <t>2026-03-09</t>
    </r>
    <r>
      <rPr>
        <sz val="10"/>
        <rFont val="Courier New"/>
        <family val="1"/>
      </rPr>
      <t>OC 28350· GD 1944</t>
    </r>
    <r>
      <rPr>
        <sz val="11"/>
        <rFont val="Courier New"/>
        <family val="1"/>
      </rPr>
      <t>$656.317</t>
    </r>
  </si>
  <si>
    <r>
      <t>Factura 1877</t>
    </r>
    <r>
      <rPr>
        <sz val="10"/>
        <rFont val="Courier New"/>
        <family val="1"/>
      </rPr>
      <t>2026-03-09</t>
    </r>
    <r>
      <rPr>
        <sz val="10"/>
        <rFont val="Courier New"/>
        <family val="1"/>
      </rPr>
      <t>OC 28353· GD 1943</t>
    </r>
    <r>
      <rPr>
        <sz val="11"/>
        <rFont val="Courier New"/>
        <family val="1"/>
      </rPr>
      <t>$112.184</t>
    </r>
  </si>
  <si>
    <r>
      <t>Factura 1876</t>
    </r>
    <r>
      <rPr>
        <sz val="10"/>
        <rFont val="Courier New"/>
        <family val="1"/>
      </rPr>
      <t>2026-03-09</t>
    </r>
    <r>
      <rPr>
        <sz val="10"/>
        <rFont val="Courier New"/>
        <family val="1"/>
      </rPr>
      <t>OC 28008</t>
    </r>
    <r>
      <rPr>
        <sz val="11"/>
        <rFont val="Courier New"/>
        <family val="1"/>
      </rPr>
      <t>$404.088</t>
    </r>
  </si>
  <si>
    <r>
      <t>Factura 1874</t>
    </r>
    <r>
      <rPr>
        <sz val="10"/>
        <rFont val="Courier New"/>
        <family val="1"/>
      </rPr>
      <t>2026-03-04</t>
    </r>
    <r>
      <rPr>
        <sz val="10"/>
        <rFont val="Courier New"/>
        <family val="1"/>
      </rPr>
      <t>OC 28642</t>
    </r>
    <r>
      <rPr>
        <sz val="11"/>
        <rFont val="Courier New"/>
        <family val="1"/>
      </rPr>
      <t>$8.679.440</t>
    </r>
  </si>
  <si>
    <r>
      <t>Factura 1871</t>
    </r>
    <r>
      <rPr>
        <sz val="10"/>
        <rFont val="Courier New"/>
        <family val="1"/>
      </rPr>
      <t>2026-03-04</t>
    </r>
    <r>
      <rPr>
        <sz val="10"/>
        <rFont val="Courier New"/>
        <family val="1"/>
      </rPr>
      <t>OC 4500104252</t>
    </r>
    <r>
      <rPr>
        <sz val="11"/>
        <rFont val="Courier New"/>
        <family val="1"/>
      </rPr>
      <t>$2.135.610</t>
    </r>
  </si>
  <si>
    <t>Servicios AVO II SpA</t>
  </si>
  <si>
    <t>Vibrador Externo AR 26/3/230 (220V) (3000VPM), Vibrador Interno Wacker IRFU 65/230</t>
  </si>
  <si>
    <t>—</t>
  </si>
  <si>
    <t>SantanderSecurityOtroNoGestión</t>
  </si>
  <si>
    <t>Perno Anclaje 1/2x3"</t>
  </si>
  <si>
    <t>Tuerca Hexagonal ASTM A-194 2H  7/8" NR, Golilla Presión 7/8 NR, Golilla Plana F436 7/8" NR, Perno Hexagonal A325 7/8 x 2.1/2 NR</t>
  </si>
  <si>
    <t>ECHEVERRÍA IZQUIERDO MONTAJES INDUSTRIALES S.A.</t>
  </si>
  <si>
    <t>Hoja Sierra Sable 12"</t>
  </si>
  <si>
    <t>EIMI-072012</t>
  </si>
  <si>
    <t>Syncore Montajes SPA</t>
  </si>
  <si>
    <t>Cordon De Respaldo 10mmx50mts, Film Transparente, Canaleta Ranurada 40x40mm</t>
  </si>
  <si>
    <t>Traspaleta Manual</t>
  </si>
  <si>
    <t>Hilo Corrido 3/8 x 3mt, Tuerca Hexagonal Grado 2 3/8 GALV, Golilla Presión 3/8 GALV</t>
  </si>
  <si>
    <t>Tuberia hdpe PN10 160MM, Stub End C/lago HDPE 160 PN10, Flange Din Acero Carbono 160 PN10, Union Storz 3", Union Storz 2", Union Storz 6", Codo 90° HDPE 160mm pn16, Manguera Succion 6"</t>
  </si>
  <si>
    <t>Collar de Arranque 90x2 HDPE PN10, Valvula Compacta G.A 90MM PVC PN10, Valvula Compacta G.A 50MM PVC PN16, Copla EF Pe100 pn16 90mm imp</t>
  </si>
  <si>
    <t>TECNICA NACIONAL DE SERVICIOS INGENIERIA Y CONSTRUCCION S.A.</t>
  </si>
  <si>
    <t>Plancha Acero 1000x3000x3mm, Plancha Acero 2x1000x3000mm, Plancha Acero 1x1000x3000mm, Plancha Acero 1000x3000x10mm, Plancha Acero 4x1000x3000mm, Plancha Acero 6x1000x3000mm, Plancha Acero 8x1000x3000mm</t>
  </si>
  <si>
    <t>OT-03364-815</t>
  </si>
  <si>
    <t>Perno Hexagonal A325 3/4X 3.1/2 NR, Tuerca Hexagonal ASTM A-194 2H 3/4" NR, Golilla Plana F436 3/4 NR, Golilla Presión 3/4 NR</t>
  </si>
  <si>
    <t>Golilla Plana M24 NR, Golilla Presión M24 NR, Perno M24X60MM, Tuerca Hexagonal M24</t>
  </si>
  <si>
    <t>Perno Hexagonal A325 3/4 x 2.1/2 NR, Tuerca Hexagonal ASTM A-194 2H 3/4" NR, Golilla Plana F436 3/4 NR, Golilla Presión 3/4 NR</t>
  </si>
  <si>
    <t>Diluyente, Tornillo Hexagonal Autoperforante con Golilla #12-14 x 1, Caja Distribuidora Sobrepuesta 12 Modulos Con Tapa, Candado 25mm, Ampolleta Globo Grande, Huincha Para Pintor 48mmx40mts</t>
  </si>
  <si>
    <t>Toallas Desinfectantes 50 hjs, Cinta Aisladora Roja 3/4x20M, Huincha Para Pintor 48mmx40mts, Cinta Aisladora Negro 3/4x20M, Toallas Papel 250 mts, Cinta Aisladora Blanca 3/4x20M, Cinta Aisladora Verde 3/4x20M, Cinta Aisladora Azul 3/4x20M, Llave Punta Corona 1", Llave Punta Corona 1.1/4"</t>
  </si>
  <si>
    <t>Cautin Tipo Lapiz 60W, Conector De Cinta led 220v</t>
  </si>
  <si>
    <t>Servicio Sub Maestranza</t>
  </si>
  <si>
    <t>PIQUES Y TÚNELES S.A.</t>
  </si>
  <si>
    <t>Perno Hexagonal A325 3/4 x 2.1/2 NR, Tuerca Hexagonal ASTM A-194 2H  3/4" NR, Golilla Plana F436 3/4 NR, Golilla Presión 3/4 NR</t>
  </si>
  <si>
    <t>C101-PC010501</t>
  </si>
  <si>
    <t>Jaula Suspel 2.5m2 de acuerdo a ficha tecnica adjuntas, Repintado Jaula en Stock, Traslado Jaula Santiago a Rancagua</t>
  </si>
  <si>
    <t>OBRAS SUBTERRANEAS S.A. AGENCIA EN CHILE</t>
  </si>
  <si>
    <t>Eslinga De Cadena Grado 8 6mmx6mts, Grillete Lira G-209 Trabajo Pesado 1, Eslinga De Cinta De 2PX1M 2 Capas, Eslinga De Cinta De 2PX4M 2 Capas, Eslinga De Cinta De 2PX6M 2 Capas, Cinta De Amarre Con Trinquete 2"x9mts 5000 kg, Cordel Perlon Trenzado de 12mm</t>
  </si>
  <si>
    <t>M1-0035</t>
  </si>
  <si>
    <t>Servicios COVI SpA</t>
  </si>
  <si>
    <t>Cooler Electrico 12V - 220V</t>
  </si>
  <si>
    <t>Separador Hormigón 50mm, Desmoldante P/Metal cave met, Rodillo Pinta corta Gota 3cm, Extensión Telescopica 4,5mts, Unidad Motriz Eléctrica 2800 230W, Sonda Vibradora 48mmx5mt, Sonda Vibradora 60mmx5mt</t>
  </si>
  <si>
    <t>Reporte Por Facturas</t>
  </si>
  <si>
    <t>Factoring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</si>
</sst>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8" formatCode="#,##0_ ;[Red]\-#,##0\ "/>
  </numFmts>
  <fonts count="9" x14ac:knownFonts="1">
    <font>
      <sz val="11"/>
      <color theme="1"/>
      <name val="Montserrat"/>
      <family val="2"/>
    </font>
    <font>
      <sz val="13"/>
      <name val="Courier New"/>
      <family val="1"/>
    </font>
    <font>
      <sz val="11"/>
      <name val="Montserrat"/>
      <family val="2"/>
    </font>
    <font>
      <sz val="14"/>
      <name val="Courier New"/>
      <family val="1"/>
    </font>
    <font>
      <sz val="10"/>
      <name val="Courier New"/>
      <family val="1"/>
    </font>
    <font>
      <sz val="9"/>
      <name val="Courier New"/>
      <family val="1"/>
    </font>
    <font>
      <sz val="10"/>
      <name val="Courier New"/>
      <family val="1"/>
    </font>
    <font>
      <sz val="11"/>
      <name val="Courier New"/>
      <family val="1"/>
    </font>
    <font>
      <sz val="1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6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8" fontId="2" fillId="0" borderId="0" xfId="0" applyNumberFormat="1" applyFont="1"/>
    <xf numFmtId="14" fontId="8" fillId="0" borderId="0" xfId="0" applyNumberFormat="1" applyFont="1"/>
    <xf numFmtId="0" fontId="8" fillId="0" borderId="0" xfId="0" applyFont="1"/>
    <xf numFmtId="0" fontId="6" fillId="0" borderId="0" xfId="0" applyFont="1"/>
    <xf numFmtId="0" fontId="7" fillId="0" borderId="0" xfId="0" applyFont="1"/>
    <xf numFmtId="6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FD87-3FC2-F343-8438-F269AC59C38A}">
  <dimension ref="A1:O36"/>
  <sheetViews>
    <sheetView tabSelected="1" workbookViewId="0">
      <selection activeCell="E2" sqref="E2"/>
    </sheetView>
  </sheetViews>
  <sheetFormatPr baseColWidth="10" defaultRowHeight="15" x14ac:dyDescent="0.2"/>
  <cols>
    <col min="1" max="1" width="75.5703125" style="2" bestFit="1" customWidth="1"/>
    <col min="2" max="4" width="10.7109375" style="2"/>
    <col min="5" max="5" width="10.85546875" style="2" bestFit="1" customWidth="1"/>
    <col min="6" max="7" width="10.7109375" style="2"/>
    <col min="8" max="10" width="10.85546875" style="2" bestFit="1" customWidth="1"/>
    <col min="11" max="11" width="11" style="2" bestFit="1" customWidth="1"/>
    <col min="12" max="16384" width="10.7109375" style="2"/>
  </cols>
  <sheetData>
    <row r="1" spans="1:15" ht="18" x14ac:dyDescent="0.25">
      <c r="A1" s="1" t="s">
        <v>65</v>
      </c>
      <c r="E1" s="2" t="s">
        <v>66</v>
      </c>
    </row>
    <row r="2" spans="1:15" ht="19" x14ac:dyDescent="0.25">
      <c r="A2" s="3"/>
    </row>
    <row r="3" spans="1:15" ht="18" x14ac:dyDescent="0.25">
      <c r="A3" s="1"/>
    </row>
    <row r="4" spans="1:15" ht="19" x14ac:dyDescent="0.25">
      <c r="A4" s="4"/>
    </row>
    <row r="5" spans="1:15" ht="18" x14ac:dyDescent="0.25">
      <c r="A5" s="1"/>
    </row>
    <row r="6" spans="1:15" ht="19" x14ac:dyDescent="0.25">
      <c r="A6" s="4">
        <v>7</v>
      </c>
    </row>
    <row r="7" spans="1:15" x14ac:dyDescent="0.2">
      <c r="A7" s="6" t="s">
        <v>20</v>
      </c>
      <c r="B7" s="2">
        <f>+VALUE(MID(A7,9,4))</f>
        <v>1870</v>
      </c>
      <c r="C7" s="7">
        <f>+VALUE(_xlfn.TEXTAFTER(A7,"$",1,0))</f>
        <v>2212508</v>
      </c>
      <c r="E7" s="8">
        <v>46085</v>
      </c>
      <c r="F7" s="9" t="s">
        <v>30</v>
      </c>
      <c r="G7" s="5" t="s">
        <v>64</v>
      </c>
      <c r="H7" s="10">
        <v>4500104258</v>
      </c>
      <c r="I7" s="5" t="s">
        <v>32</v>
      </c>
      <c r="J7" s="11">
        <v>1870</v>
      </c>
      <c r="K7" s="12">
        <v>2212508</v>
      </c>
      <c r="L7" s="9" t="s">
        <v>33</v>
      </c>
      <c r="O7" s="7">
        <f>+K7-C7</f>
        <v>0</v>
      </c>
    </row>
    <row r="8" spans="1:15" x14ac:dyDescent="0.2">
      <c r="A8" s="6" t="s">
        <v>29</v>
      </c>
      <c r="B8" s="2">
        <f>+VALUE(MID(A8,9,4))</f>
        <v>1871</v>
      </c>
      <c r="C8" s="7">
        <f t="shared" ref="C8:C29" si="0">+VALUE(_xlfn.TEXTAFTER(A8,"$",1,0))</f>
        <v>2135610</v>
      </c>
      <c r="E8" s="8">
        <v>46085</v>
      </c>
      <c r="F8" s="9" t="s">
        <v>62</v>
      </c>
      <c r="G8" s="5" t="s">
        <v>63</v>
      </c>
      <c r="H8" s="10">
        <v>4500104252</v>
      </c>
      <c r="I8" s="5" t="s">
        <v>32</v>
      </c>
      <c r="J8" s="11">
        <v>1871</v>
      </c>
      <c r="K8" s="12">
        <v>2135610</v>
      </c>
      <c r="L8" s="9" t="s">
        <v>33</v>
      </c>
      <c r="O8" s="7">
        <f t="shared" ref="O8:O29" si="1">+K8-C8</f>
        <v>0</v>
      </c>
    </row>
    <row r="9" spans="1:15" x14ac:dyDescent="0.2">
      <c r="A9" s="6" t="s">
        <v>8</v>
      </c>
      <c r="B9" s="2">
        <f>+VALUE(MID(A9,9,4))</f>
        <v>1872</v>
      </c>
      <c r="C9" s="7">
        <f t="shared" si="0"/>
        <v>1019590</v>
      </c>
      <c r="E9" s="8">
        <v>46085</v>
      </c>
      <c r="F9" s="9" t="s">
        <v>59</v>
      </c>
      <c r="G9" s="5" t="s">
        <v>60</v>
      </c>
      <c r="H9" s="10" t="s">
        <v>61</v>
      </c>
      <c r="I9" s="5">
        <v>1948</v>
      </c>
      <c r="J9" s="11">
        <v>1872</v>
      </c>
      <c r="K9" s="12">
        <v>1019590</v>
      </c>
      <c r="L9" s="9" t="s">
        <v>33</v>
      </c>
      <c r="O9" s="7">
        <f t="shared" si="1"/>
        <v>0</v>
      </c>
    </row>
    <row r="10" spans="1:15" x14ac:dyDescent="0.2">
      <c r="A10" s="6" t="s">
        <v>19</v>
      </c>
      <c r="B10" s="2">
        <f>+VALUE(MID(A10,9,4))</f>
        <v>1873</v>
      </c>
      <c r="C10" s="7">
        <f t="shared" si="0"/>
        <v>2284800</v>
      </c>
      <c r="E10" s="8">
        <v>46085</v>
      </c>
      <c r="F10" s="9" t="s">
        <v>30</v>
      </c>
      <c r="G10" s="5" t="s">
        <v>50</v>
      </c>
      <c r="H10" s="10">
        <v>4500103271</v>
      </c>
      <c r="I10" s="5" t="s">
        <v>32</v>
      </c>
      <c r="J10" s="11">
        <v>1873</v>
      </c>
      <c r="K10" s="12">
        <v>2284800</v>
      </c>
      <c r="L10" s="9" t="s">
        <v>33</v>
      </c>
      <c r="O10" s="7">
        <f t="shared" si="1"/>
        <v>0</v>
      </c>
    </row>
    <row r="11" spans="1:15" x14ac:dyDescent="0.2">
      <c r="A11" s="6" t="s">
        <v>28</v>
      </c>
      <c r="B11" s="2">
        <f>+VALUE(MID(A11,9,4))</f>
        <v>1874</v>
      </c>
      <c r="C11" s="7">
        <f t="shared" si="0"/>
        <v>8679440</v>
      </c>
      <c r="E11" s="8">
        <v>46085</v>
      </c>
      <c r="F11" s="9" t="s">
        <v>39</v>
      </c>
      <c r="G11" s="5" t="s">
        <v>58</v>
      </c>
      <c r="H11" s="10">
        <v>28642</v>
      </c>
      <c r="I11" s="5" t="s">
        <v>32</v>
      </c>
      <c r="J11" s="11">
        <v>1874</v>
      </c>
      <c r="K11" s="12">
        <v>0</v>
      </c>
      <c r="L11" s="9" t="s">
        <v>33</v>
      </c>
      <c r="O11" s="7">
        <f t="shared" si="1"/>
        <v>-8679440</v>
      </c>
    </row>
    <row r="12" spans="1:15" x14ac:dyDescent="0.2">
      <c r="A12" s="6" t="s">
        <v>10</v>
      </c>
      <c r="B12" s="2">
        <f>+VALUE(MID(A12,9,4))</f>
        <v>1875</v>
      </c>
      <c r="C12" s="7">
        <f t="shared" si="0"/>
        <v>2873850</v>
      </c>
      <c r="E12" s="8">
        <v>46085</v>
      </c>
      <c r="F12" s="9" t="s">
        <v>55</v>
      </c>
      <c r="G12" s="5" t="s">
        <v>56</v>
      </c>
      <c r="H12" s="10" t="s">
        <v>57</v>
      </c>
      <c r="I12" s="5">
        <v>1951</v>
      </c>
      <c r="J12" s="11">
        <v>1875</v>
      </c>
      <c r="K12" s="12">
        <v>2873850</v>
      </c>
      <c r="L12" s="9" t="s">
        <v>33</v>
      </c>
      <c r="O12" s="7">
        <f t="shared" si="1"/>
        <v>0</v>
      </c>
    </row>
    <row r="13" spans="1:15" x14ac:dyDescent="0.2">
      <c r="A13" s="6" t="s">
        <v>27</v>
      </c>
      <c r="B13" s="2">
        <f>+VALUE(MID(A13,9,4))</f>
        <v>1876</v>
      </c>
      <c r="C13" s="7">
        <f t="shared" si="0"/>
        <v>404088</v>
      </c>
      <c r="E13" s="8">
        <v>46090</v>
      </c>
      <c r="F13" s="9" t="s">
        <v>39</v>
      </c>
      <c r="G13" s="5" t="s">
        <v>54</v>
      </c>
      <c r="H13" s="10">
        <v>28008</v>
      </c>
      <c r="I13" s="5" t="s">
        <v>32</v>
      </c>
      <c r="J13" s="11">
        <v>1876</v>
      </c>
      <c r="K13" s="12">
        <v>404088</v>
      </c>
      <c r="L13" s="9" t="s">
        <v>33</v>
      </c>
      <c r="O13" s="7">
        <f t="shared" si="1"/>
        <v>0</v>
      </c>
    </row>
    <row r="14" spans="1:15" x14ac:dyDescent="0.2">
      <c r="A14" s="6" t="s">
        <v>26</v>
      </c>
      <c r="B14" s="2">
        <f>+VALUE(MID(A14,9,4))</f>
        <v>1877</v>
      </c>
      <c r="C14" s="7">
        <f t="shared" si="0"/>
        <v>112184</v>
      </c>
      <c r="E14" s="8">
        <v>46090</v>
      </c>
      <c r="F14" s="9" t="s">
        <v>39</v>
      </c>
      <c r="G14" s="5" t="s">
        <v>53</v>
      </c>
      <c r="H14" s="10">
        <v>28353</v>
      </c>
      <c r="I14" s="5">
        <v>1943</v>
      </c>
      <c r="J14" s="11">
        <v>1877</v>
      </c>
      <c r="K14" s="12">
        <v>112184</v>
      </c>
      <c r="L14" s="9" t="s">
        <v>33</v>
      </c>
      <c r="O14" s="7">
        <f t="shared" si="1"/>
        <v>0</v>
      </c>
    </row>
    <row r="15" spans="1:15" x14ac:dyDescent="0.2">
      <c r="A15" s="6" t="s">
        <v>25</v>
      </c>
      <c r="B15" s="2">
        <f>+VALUE(MID(A15,9,4))</f>
        <v>1878</v>
      </c>
      <c r="C15" s="7">
        <f t="shared" si="0"/>
        <v>656317</v>
      </c>
      <c r="E15" s="8">
        <v>46090</v>
      </c>
      <c r="F15" s="9" t="s">
        <v>39</v>
      </c>
      <c r="G15" s="5" t="s">
        <v>52</v>
      </c>
      <c r="H15" s="10">
        <v>28350</v>
      </c>
      <c r="I15" s="5">
        <v>1944</v>
      </c>
      <c r="J15" s="11">
        <v>1878</v>
      </c>
      <c r="K15" s="12">
        <v>656317</v>
      </c>
      <c r="L15" s="9" t="s">
        <v>33</v>
      </c>
      <c r="O15" s="7">
        <f t="shared" si="1"/>
        <v>0</v>
      </c>
    </row>
    <row r="16" spans="1:15" x14ac:dyDescent="0.2">
      <c r="A16" s="6" t="s">
        <v>24</v>
      </c>
      <c r="B16" s="2">
        <f>+VALUE(MID(A16,9,4))</f>
        <v>1879</v>
      </c>
      <c r="C16" s="7">
        <f t="shared" si="0"/>
        <v>420844</v>
      </c>
      <c r="E16" s="8">
        <v>46090</v>
      </c>
      <c r="F16" s="9" t="s">
        <v>39</v>
      </c>
      <c r="G16" s="5" t="s">
        <v>51</v>
      </c>
      <c r="H16" s="10">
        <v>28348</v>
      </c>
      <c r="I16" s="5" t="s">
        <v>32</v>
      </c>
      <c r="J16" s="11">
        <v>1879</v>
      </c>
      <c r="K16" s="12">
        <v>420844</v>
      </c>
      <c r="L16" s="9" t="s">
        <v>33</v>
      </c>
      <c r="O16" s="7">
        <f t="shared" si="1"/>
        <v>0</v>
      </c>
    </row>
    <row r="17" spans="1:15" x14ac:dyDescent="0.2">
      <c r="A17" s="6" t="s">
        <v>18</v>
      </c>
      <c r="B17" s="2">
        <f>+VALUE(MID(A17,9,4))</f>
        <v>1880</v>
      </c>
      <c r="C17" s="7">
        <f t="shared" si="0"/>
        <v>3808000</v>
      </c>
      <c r="E17" s="8">
        <v>46090</v>
      </c>
      <c r="F17" s="9" t="s">
        <v>30</v>
      </c>
      <c r="G17" s="5" t="s">
        <v>50</v>
      </c>
      <c r="H17" s="10">
        <v>4500104429</v>
      </c>
      <c r="I17" s="5" t="s">
        <v>32</v>
      </c>
      <c r="J17" s="11">
        <v>1880</v>
      </c>
      <c r="K17" s="12">
        <v>3808000</v>
      </c>
      <c r="L17" s="9" t="s">
        <v>33</v>
      </c>
      <c r="O17" s="7">
        <f t="shared" si="1"/>
        <v>0</v>
      </c>
    </row>
    <row r="18" spans="1:15" x14ac:dyDescent="0.2">
      <c r="A18" s="6" t="s">
        <v>17</v>
      </c>
      <c r="B18" s="2">
        <f>+VALUE(MID(A18,9,4))</f>
        <v>1881</v>
      </c>
      <c r="C18" s="7">
        <f t="shared" si="0"/>
        <v>4931360</v>
      </c>
      <c r="E18" s="8">
        <v>46090</v>
      </c>
      <c r="F18" s="9" t="s">
        <v>30</v>
      </c>
      <c r="G18" s="5" t="s">
        <v>49</v>
      </c>
      <c r="H18" s="10">
        <v>4500103137</v>
      </c>
      <c r="I18" s="5" t="s">
        <v>32</v>
      </c>
      <c r="J18" s="11">
        <v>1881</v>
      </c>
      <c r="K18" s="12">
        <v>4931360</v>
      </c>
      <c r="L18" s="9" t="s">
        <v>33</v>
      </c>
      <c r="O18" s="7">
        <f t="shared" si="1"/>
        <v>0</v>
      </c>
    </row>
    <row r="19" spans="1:15" x14ac:dyDescent="0.2">
      <c r="A19" s="6" t="s">
        <v>16</v>
      </c>
      <c r="B19" s="2">
        <f>+VALUE(MID(A19,9,4))</f>
        <v>1882</v>
      </c>
      <c r="C19" s="7">
        <f t="shared" si="0"/>
        <v>3479846</v>
      </c>
      <c r="E19" s="8">
        <v>46090</v>
      </c>
      <c r="F19" s="9" t="s">
        <v>30</v>
      </c>
      <c r="G19" s="5" t="s">
        <v>48</v>
      </c>
      <c r="H19" s="10">
        <v>4500101710</v>
      </c>
      <c r="I19" s="5" t="s">
        <v>32</v>
      </c>
      <c r="J19" s="11">
        <v>1882</v>
      </c>
      <c r="K19" s="12">
        <v>3479846</v>
      </c>
      <c r="L19" s="9" t="s">
        <v>33</v>
      </c>
      <c r="O19" s="7">
        <f t="shared" si="1"/>
        <v>0</v>
      </c>
    </row>
    <row r="20" spans="1:15" x14ac:dyDescent="0.2">
      <c r="A20" s="6" t="s">
        <v>7</v>
      </c>
      <c r="B20" s="2">
        <f>+VALUE(MID(A20,9,4))</f>
        <v>1883</v>
      </c>
      <c r="C20" s="7">
        <f t="shared" si="0"/>
        <v>1224059</v>
      </c>
      <c r="E20" s="8">
        <v>46090</v>
      </c>
      <c r="F20" s="9" t="s">
        <v>45</v>
      </c>
      <c r="G20" s="5" t="s">
        <v>46</v>
      </c>
      <c r="H20" s="10" t="s">
        <v>47</v>
      </c>
      <c r="I20" s="5">
        <v>1963</v>
      </c>
      <c r="J20" s="11">
        <v>1883</v>
      </c>
      <c r="K20" s="12">
        <v>1224059</v>
      </c>
      <c r="L20" s="9" t="s">
        <v>33</v>
      </c>
      <c r="O20" s="7">
        <f t="shared" si="1"/>
        <v>0</v>
      </c>
    </row>
    <row r="21" spans="1:15" x14ac:dyDescent="0.2">
      <c r="A21" s="6" t="s">
        <v>15</v>
      </c>
      <c r="B21" s="2">
        <f>+VALUE(MID(A21,9,4))</f>
        <v>1884</v>
      </c>
      <c r="C21" s="7">
        <f t="shared" si="0"/>
        <v>622080</v>
      </c>
      <c r="E21" s="8">
        <v>46090</v>
      </c>
      <c r="F21" s="9" t="s">
        <v>30</v>
      </c>
      <c r="G21" s="5" t="s">
        <v>44</v>
      </c>
      <c r="H21" s="10">
        <v>4500104389</v>
      </c>
      <c r="I21" s="5" t="s">
        <v>32</v>
      </c>
      <c r="J21" s="11">
        <v>1884</v>
      </c>
      <c r="K21" s="12">
        <v>0</v>
      </c>
      <c r="L21" s="9" t="s">
        <v>33</v>
      </c>
      <c r="O21" s="7">
        <f t="shared" si="1"/>
        <v>-622080</v>
      </c>
    </row>
    <row r="22" spans="1:15" x14ac:dyDescent="0.2">
      <c r="A22" s="6" t="s">
        <v>14</v>
      </c>
      <c r="B22" s="2">
        <f>+VALUE(MID(A22,9,4))</f>
        <v>1885</v>
      </c>
      <c r="C22" s="7">
        <f t="shared" si="0"/>
        <v>10324630</v>
      </c>
      <c r="E22" s="8">
        <v>46090</v>
      </c>
      <c r="F22" s="9" t="s">
        <v>30</v>
      </c>
      <c r="G22" s="5" t="s">
        <v>43</v>
      </c>
      <c r="H22" s="10">
        <v>4500104343</v>
      </c>
      <c r="I22" s="5" t="s">
        <v>32</v>
      </c>
      <c r="J22" s="11">
        <v>1885</v>
      </c>
      <c r="K22" s="12">
        <v>0</v>
      </c>
      <c r="L22" s="9" t="s">
        <v>33</v>
      </c>
      <c r="O22" s="7">
        <f t="shared" si="1"/>
        <v>-10324630</v>
      </c>
    </row>
    <row r="23" spans="1:15" x14ac:dyDescent="0.2">
      <c r="A23" s="6" t="s">
        <v>23</v>
      </c>
      <c r="B23" s="2">
        <f>+VALUE(MID(A23,9,4))</f>
        <v>1886</v>
      </c>
      <c r="C23" s="7">
        <f t="shared" si="0"/>
        <v>49020</v>
      </c>
      <c r="E23" s="8">
        <v>46091</v>
      </c>
      <c r="F23" s="9" t="s">
        <v>39</v>
      </c>
      <c r="G23" s="5" t="s">
        <v>42</v>
      </c>
      <c r="H23" s="10">
        <v>26809</v>
      </c>
      <c r="I23" s="5" t="s">
        <v>32</v>
      </c>
      <c r="J23" s="11">
        <v>1886</v>
      </c>
      <c r="K23" s="12">
        <v>0</v>
      </c>
      <c r="L23" s="9" t="s">
        <v>33</v>
      </c>
      <c r="O23" s="7">
        <f t="shared" si="1"/>
        <v>-49020</v>
      </c>
    </row>
    <row r="24" spans="1:15" x14ac:dyDescent="0.2">
      <c r="A24" s="6" t="s">
        <v>22</v>
      </c>
      <c r="B24" s="2">
        <f>+VALUE(MID(A24,9,4))</f>
        <v>1889</v>
      </c>
      <c r="C24" s="7">
        <f t="shared" si="0"/>
        <v>470050</v>
      </c>
      <c r="E24" s="8">
        <v>46091</v>
      </c>
      <c r="F24" s="9" t="s">
        <v>39</v>
      </c>
      <c r="G24" s="5" t="s">
        <v>41</v>
      </c>
      <c r="H24" s="10">
        <v>27650</v>
      </c>
      <c r="I24" s="5" t="s">
        <v>32</v>
      </c>
      <c r="J24" s="11">
        <v>1889</v>
      </c>
      <c r="K24" s="12">
        <v>470050</v>
      </c>
      <c r="L24" s="9" t="s">
        <v>33</v>
      </c>
      <c r="O24" s="7">
        <f t="shared" si="1"/>
        <v>0</v>
      </c>
    </row>
    <row r="25" spans="1:15" x14ac:dyDescent="0.2">
      <c r="A25" s="6" t="s">
        <v>21</v>
      </c>
      <c r="B25" s="2">
        <f>+VALUE(MID(A25,9,4))</f>
        <v>1890</v>
      </c>
      <c r="C25" s="7">
        <f t="shared" si="0"/>
        <v>250780</v>
      </c>
      <c r="E25" s="8">
        <v>46091</v>
      </c>
      <c r="F25" s="9" t="s">
        <v>39</v>
      </c>
      <c r="G25" s="5" t="s">
        <v>40</v>
      </c>
      <c r="H25" s="10">
        <v>28666</v>
      </c>
      <c r="I25" s="5" t="s">
        <v>32</v>
      </c>
      <c r="J25" s="11">
        <v>1890</v>
      </c>
      <c r="K25" s="12">
        <v>0</v>
      </c>
      <c r="L25" s="9" t="s">
        <v>33</v>
      </c>
      <c r="O25" s="7">
        <f t="shared" si="1"/>
        <v>-250780</v>
      </c>
    </row>
    <row r="26" spans="1:15" x14ac:dyDescent="0.2">
      <c r="A26" s="6" t="s">
        <v>9</v>
      </c>
      <c r="B26" s="2">
        <f>+VALUE(MID(A26,9,4))</f>
        <v>1891</v>
      </c>
      <c r="C26" s="7">
        <f t="shared" si="0"/>
        <v>116822</v>
      </c>
      <c r="E26" s="8">
        <v>46092</v>
      </c>
      <c r="F26" s="9" t="s">
        <v>36</v>
      </c>
      <c r="G26" s="5" t="s">
        <v>37</v>
      </c>
      <c r="H26" s="10" t="s">
        <v>38</v>
      </c>
      <c r="I26" s="5">
        <v>1955</v>
      </c>
      <c r="J26" s="11">
        <v>1891</v>
      </c>
      <c r="K26" s="12">
        <v>116822</v>
      </c>
      <c r="L26" s="9" t="s">
        <v>33</v>
      </c>
      <c r="O26" s="7">
        <f t="shared" si="1"/>
        <v>0</v>
      </c>
    </row>
    <row r="27" spans="1:15" x14ac:dyDescent="0.2">
      <c r="A27" s="6" t="s">
        <v>13</v>
      </c>
      <c r="B27" s="2">
        <f>+VALUE(MID(A27,9,4))</f>
        <v>1892</v>
      </c>
      <c r="C27" s="7">
        <f t="shared" si="0"/>
        <v>2261000</v>
      </c>
      <c r="E27" s="8">
        <v>46092</v>
      </c>
      <c r="F27" s="9" t="s">
        <v>30</v>
      </c>
      <c r="G27" s="5" t="s">
        <v>35</v>
      </c>
      <c r="H27" s="10">
        <v>4500104614</v>
      </c>
      <c r="I27" s="5">
        <v>1971</v>
      </c>
      <c r="J27" s="11">
        <v>1892</v>
      </c>
      <c r="K27" s="12">
        <v>2261000</v>
      </c>
      <c r="L27" s="9" t="s">
        <v>33</v>
      </c>
      <c r="O27" s="7">
        <f t="shared" si="1"/>
        <v>0</v>
      </c>
    </row>
    <row r="28" spans="1:15" x14ac:dyDescent="0.2">
      <c r="A28" s="6" t="s">
        <v>12</v>
      </c>
      <c r="B28" s="2">
        <f>+VALUE(MID(A28,9,4))</f>
        <v>1893</v>
      </c>
      <c r="C28" s="7">
        <f t="shared" si="0"/>
        <v>107695</v>
      </c>
      <c r="E28" s="8">
        <v>46092</v>
      </c>
      <c r="F28" s="9" t="s">
        <v>30</v>
      </c>
      <c r="G28" s="5" t="s">
        <v>34</v>
      </c>
      <c r="H28" s="10">
        <v>4500104390</v>
      </c>
      <c r="I28" s="5">
        <v>1973</v>
      </c>
      <c r="J28" s="11">
        <v>1893</v>
      </c>
      <c r="K28" s="12">
        <v>107695</v>
      </c>
      <c r="L28" s="9" t="s">
        <v>33</v>
      </c>
      <c r="O28" s="7">
        <f t="shared" si="1"/>
        <v>0</v>
      </c>
    </row>
    <row r="29" spans="1:15" x14ac:dyDescent="0.2">
      <c r="A29" s="6" t="s">
        <v>11</v>
      </c>
      <c r="B29" s="2">
        <f>+VALUE(MID(A29,9,4))</f>
        <v>1894</v>
      </c>
      <c r="C29" s="7">
        <f t="shared" si="0"/>
        <v>9136466</v>
      </c>
      <c r="E29" s="8">
        <v>46092</v>
      </c>
      <c r="F29" s="9" t="s">
        <v>30</v>
      </c>
      <c r="G29" s="5" t="s">
        <v>31</v>
      </c>
      <c r="H29" s="10">
        <v>4500104257</v>
      </c>
      <c r="I29" s="5" t="s">
        <v>32</v>
      </c>
      <c r="J29" s="11">
        <v>1894</v>
      </c>
      <c r="K29" s="12">
        <v>0</v>
      </c>
      <c r="L29" s="9" t="s">
        <v>33</v>
      </c>
      <c r="O29" s="7">
        <f t="shared" si="1"/>
        <v>-9136466</v>
      </c>
    </row>
    <row r="30" spans="1:15" x14ac:dyDescent="0.2">
      <c r="A30" s="5" t="s">
        <v>0</v>
      </c>
    </row>
    <row r="31" spans="1:15" x14ac:dyDescent="0.2">
      <c r="A31" s="5" t="s">
        <v>1</v>
      </c>
      <c r="C31" s="7">
        <f>+SUM(C7:C30)</f>
        <v>57581039</v>
      </c>
      <c r="K31" s="2">
        <f>+SUM(K7:K30)</f>
        <v>28518623</v>
      </c>
    </row>
    <row r="32" spans="1:15" x14ac:dyDescent="0.2">
      <c r="A32" s="5" t="s">
        <v>2</v>
      </c>
    </row>
    <row r="33" spans="1:1" x14ac:dyDescent="0.2">
      <c r="A33" s="5" t="s">
        <v>3</v>
      </c>
    </row>
    <row r="34" spans="1:1" x14ac:dyDescent="0.2">
      <c r="A34" s="5" t="s">
        <v>4</v>
      </c>
    </row>
    <row r="35" spans="1:1" x14ac:dyDescent="0.2">
      <c r="A35" s="5" t="s">
        <v>5</v>
      </c>
    </row>
    <row r="36" spans="1:1" x14ac:dyDescent="0.2">
      <c r="A36" s="5" t="s">
        <v>6</v>
      </c>
    </row>
  </sheetData>
  <autoFilter ref="A6:B6" xr:uid="{F98DFD87-3FC2-F343-8438-F269AC59C38A}"/>
  <sortState xmlns:xlrd2="http://schemas.microsoft.com/office/spreadsheetml/2017/richdata2" ref="E7:N29">
    <sortCondition ref="J7:J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Sepúlveda Iturra</dc:creator>
  <cp:lastModifiedBy>Gonzalo Sepúlveda Iturra</cp:lastModifiedBy>
  <dcterms:created xsi:type="dcterms:W3CDTF">2026-03-17T18:39:59Z</dcterms:created>
  <dcterms:modified xsi:type="dcterms:W3CDTF">2026-03-17T18:58:36Z</dcterms:modified>
</cp:coreProperties>
</file>
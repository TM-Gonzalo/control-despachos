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pro/Desarrollos/control-despachos/datos/"/>
    </mc:Choice>
  </mc:AlternateContent>
  <xr:revisionPtr revIDLastSave="0" documentId="8_{F942535B-A08C-A247-B782-14C31644B9BD}" xr6:coauthVersionLast="47" xr6:coauthVersionMax="47" xr10:uidLastSave="{00000000-0000-0000-0000-000000000000}"/>
  <bookViews>
    <workbookView xWindow="2240" yWindow="980" windowWidth="24460" windowHeight="16560" xr2:uid="{284C02FA-B3EB-7848-A6C3-F22C66802AE7}"/>
  </bookViews>
  <sheets>
    <sheet name="Mar26-3" sheetId="1" r:id="rId1"/>
  </sheets>
  <definedNames>
    <definedName name="_xlnm.Print_Area" localSheetId="0">'Mar26-3'!$A$1:$J$32</definedName>
    <definedName name="_xlnm.Print_Titles" localSheetId="0">'Mar26-3'!$1:$5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G25" i="1"/>
  <c r="G31" i="1" s="1"/>
  <c r="G32" i="1" s="1"/>
  <c r="H32" i="1" s="1"/>
  <c r="M21" i="1"/>
  <c r="I21" i="1"/>
  <c r="M20" i="1"/>
  <c r="I20" i="1"/>
  <c r="M19" i="1"/>
  <c r="M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M24" i="1" s="1"/>
  <c r="I10" i="1"/>
  <c r="M9" i="1"/>
  <c r="I9" i="1"/>
  <c r="M8" i="1"/>
  <c r="I8" i="1"/>
  <c r="M7" i="1"/>
  <c r="I7" i="1"/>
  <c r="M6" i="1"/>
  <c r="I6" i="1"/>
  <c r="H27" i="1" l="1"/>
</calcChain>
</file>

<file path=xl/sharedStrings.xml><?xml version="1.0" encoding="utf-8"?>
<sst xmlns="http://schemas.openxmlformats.org/spreadsheetml/2006/main" count="95" uniqueCount="58">
  <si>
    <t>Detalle Factorización mar-26 (OP3)</t>
  </si>
  <si>
    <t>Tasa</t>
  </si>
  <si>
    <t>TotalMetal Ltda. 77.803.423-9</t>
  </si>
  <si>
    <t>Cliente</t>
  </si>
  <si>
    <t>RUT</t>
  </si>
  <si>
    <t>N° GD</t>
  </si>
  <si>
    <t>N° Factura</t>
  </si>
  <si>
    <t>Fecha Factura</t>
  </si>
  <si>
    <t>N° OC</t>
  </si>
  <si>
    <t>Monto c/IVA</t>
  </si>
  <si>
    <t>Dias</t>
  </si>
  <si>
    <t>Fecha Cobro</t>
  </si>
  <si>
    <t>ID</t>
  </si>
  <si>
    <t>Syncore Montajes SPA</t>
  </si>
  <si>
    <t>76.543.046-1</t>
  </si>
  <si>
    <t>2026-03-19</t>
  </si>
  <si>
    <t>28628</t>
  </si>
  <si>
    <t>Echeverría Izquierdo Montajes Industriales S.A.</t>
  </si>
  <si>
    <t>96.870.780-9</t>
  </si>
  <si>
    <t>EIMI-071724</t>
  </si>
  <si>
    <t>EIMI-072450</t>
  </si>
  <si>
    <t>Servicios AVO II SpA</t>
  </si>
  <si>
    <t>77.726.289-0</t>
  </si>
  <si>
    <t>4500104343</t>
  </si>
  <si>
    <t>PREFAST SPA</t>
  </si>
  <si>
    <t>76.622.019-3</t>
  </si>
  <si>
    <t>PF-OC-1542</t>
  </si>
  <si>
    <t>4500104949</t>
  </si>
  <si>
    <t>28555</t>
  </si>
  <si>
    <t>4500104614</t>
  </si>
  <si>
    <t>SIGES CHILE SpA</t>
  </si>
  <si>
    <t>96.992.160-K</t>
  </si>
  <si>
    <t>1905-1956-1976</t>
  </si>
  <si>
    <t>2026-03-20</t>
  </si>
  <si>
    <t>4505444677</t>
  </si>
  <si>
    <t>2026-03-23</t>
  </si>
  <si>
    <t>29210</t>
  </si>
  <si>
    <t>28642</t>
  </si>
  <si>
    <t>28620</t>
  </si>
  <si>
    <t>28627</t>
  </si>
  <si>
    <t>29241</t>
  </si>
  <si>
    <t>Total Operación</t>
  </si>
  <si>
    <t>Interés (Dif. Precio)</t>
  </si>
  <si>
    <t xml:space="preserve">Retención (No Fin.) </t>
  </si>
  <si>
    <t>Comisión+Gastos</t>
  </si>
  <si>
    <t>Monto aplicado</t>
  </si>
  <si>
    <t>Saldo a Cuenta</t>
  </si>
  <si>
    <t>factura@servicioavo2.cl</t>
  </si>
  <si>
    <t>manuel.torres@besalco.cl</t>
  </si>
  <si>
    <t>halvarado@tecnasic.cl</t>
  </si>
  <si>
    <t>jvargas@syncore.cl</t>
  </si>
  <si>
    <t>m.lozada@scl-cjv.cl</t>
  </si>
  <si>
    <t>yuri.zambrano@ohla-chile.cl</t>
  </si>
  <si>
    <t>aespinoza@eimontajes.cl</t>
  </si>
  <si>
    <t>facturas@iclevel.cl</t>
  </si>
  <si>
    <t>factura@serviciocovi.cl</t>
  </si>
  <si>
    <t>facturacion@asap.cl</t>
  </si>
  <si>
    <t>noliva@prefast.cl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</si>
</sst>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164" formatCode="#,##0_ ;[Red]\-#,##0\ "/>
    <numFmt numFmtId="165" formatCode="dd/mm/yyyy"/>
  </numFmts>
  <fonts count="13">
    <font>
      <sz val="11"/>
      <color theme="1"/>
      <name val="Montserrat"/>
      <family val="2"/>
    </font>
    <font>
      <sz val="11"/>
      <color theme="1"/>
      <name val="Calibri Light"/>
      <family val="2"/>
    </font>
    <font>
      <b/>
      <i/>
      <sz val="10"/>
      <color theme="1"/>
      <name val="Montserrat Regular"/>
    </font>
    <font>
      <sz val="10"/>
      <color theme="1"/>
      <name val="Montserrat Regular"/>
    </font>
    <font>
      <sz val="11"/>
      <color theme="1"/>
      <name val="Montserrat Regular"/>
    </font>
    <font>
      <b/>
      <sz val="11"/>
      <color theme="1"/>
      <name val="Montserrat Regular"/>
    </font>
    <font>
      <b/>
      <sz val="11"/>
      <color theme="1"/>
      <name val="Calibri Light"/>
      <family val="2"/>
    </font>
    <font>
      <sz val="10"/>
      <name val="Montserrat Regular"/>
    </font>
    <font>
      <b/>
      <sz val="10"/>
      <name val="Montserrat Regular"/>
    </font>
    <font>
      <b/>
      <sz val="10"/>
      <color theme="1"/>
      <name val="Montserrat Regular"/>
    </font>
    <font>
      <b/>
      <sz val="10"/>
      <color theme="0"/>
      <name val="Montserrat Regular"/>
    </font>
    <font>
      <sz val="10"/>
      <color rgb="FF0070C0"/>
      <name val="Montserrat Regular"/>
    </font>
    <font>
      <u/>
      <sz val="11"/>
      <color theme="1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E97132"/>
        <bgColor indexed="64"/>
      </patternFill>
    </fill>
    <fill>
      <patternFill patternType="solid">
        <fgColor rgb="FFE97132"/>
        <bgColor theme="5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2"/>
    <xf numFmtId="0" fontId="2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1" fillId="0" borderId="0" xfId="2" applyAlignment="1">
      <alignment vertical="center"/>
    </xf>
    <xf numFmtId="16" fontId="4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3" fillId="2" borderId="0" xfId="2" applyFont="1" applyFill="1" applyAlignment="1">
      <alignment vertical="center"/>
    </xf>
    <xf numFmtId="0" fontId="3" fillId="0" borderId="0" xfId="2" applyFont="1" applyAlignment="1">
      <alignment horizontal="right"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4" fontId="7" fillId="0" borderId="0" xfId="2" applyNumberFormat="1" applyFont="1" applyAlignment="1">
      <alignment vertical="center"/>
    </xf>
    <xf numFmtId="0" fontId="7" fillId="0" borderId="0" xfId="2" applyFont="1" applyAlignment="1">
      <alignment horizontal="right" vertical="center"/>
    </xf>
    <xf numFmtId="3" fontId="8" fillId="0" borderId="0" xfId="2" applyNumberFormat="1" applyFont="1" applyAlignment="1">
      <alignment vertical="center"/>
    </xf>
    <xf numFmtId="164" fontId="1" fillId="0" borderId="0" xfId="2" applyNumberFormat="1" applyAlignment="1">
      <alignment vertical="center"/>
    </xf>
    <xf numFmtId="165" fontId="7" fillId="0" borderId="0" xfId="2" applyNumberFormat="1" applyFont="1" applyAlignment="1">
      <alignment vertical="center"/>
    </xf>
    <xf numFmtId="0" fontId="9" fillId="0" borderId="0" xfId="2" applyFont="1" applyAlignment="1">
      <alignment vertical="center"/>
    </xf>
    <xf numFmtId="3" fontId="9" fillId="0" borderId="0" xfId="2" applyNumberFormat="1" applyFont="1" applyAlignment="1">
      <alignment vertical="center"/>
    </xf>
    <xf numFmtId="0" fontId="9" fillId="0" borderId="0" xfId="2" applyFont="1" applyAlignment="1">
      <alignment horizontal="right" vertical="center"/>
    </xf>
    <xf numFmtId="3" fontId="3" fillId="0" borderId="0" xfId="2" applyNumberFormat="1" applyFont="1" applyAlignment="1">
      <alignment vertical="center"/>
    </xf>
    <xf numFmtId="0" fontId="10" fillId="3" borderId="0" xfId="2" applyFont="1" applyFill="1" applyAlignment="1">
      <alignment vertical="center"/>
    </xf>
    <xf numFmtId="164" fontId="10" fillId="4" borderId="0" xfId="2" applyNumberFormat="1" applyFont="1" applyFill="1" applyAlignment="1">
      <alignment vertical="center"/>
    </xf>
    <xf numFmtId="14" fontId="3" fillId="0" borderId="0" xfId="2" applyNumberFormat="1" applyFont="1" applyAlignment="1">
      <alignment vertical="center"/>
    </xf>
    <xf numFmtId="0" fontId="3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6" fontId="3" fillId="0" borderId="0" xfId="2" applyNumberFormat="1" applyFont="1" applyAlignment="1">
      <alignment vertical="center"/>
    </xf>
    <xf numFmtId="164" fontId="3" fillId="5" borderId="1" xfId="2" applyNumberFormat="1" applyFont="1" applyFill="1" applyBorder="1" applyAlignment="1">
      <alignment vertical="center"/>
    </xf>
    <xf numFmtId="10" fontId="3" fillId="0" borderId="0" xfId="3" applyNumberFormat="1" applyFont="1" applyAlignment="1">
      <alignment vertical="center"/>
    </xf>
    <xf numFmtId="0" fontId="11" fillId="0" borderId="0" xfId="2" applyFont="1" applyAlignment="1">
      <alignment vertical="center"/>
    </xf>
    <xf numFmtId="164" fontId="11" fillId="5" borderId="1" xfId="2" applyNumberFormat="1" applyFont="1" applyFill="1" applyBorder="1" applyAlignment="1">
      <alignment vertical="center"/>
    </xf>
    <xf numFmtId="164" fontId="9" fillId="0" borderId="0" xfId="2" applyNumberFormat="1" applyFont="1" applyAlignment="1">
      <alignment vertical="center"/>
    </xf>
    <xf numFmtId="6" fontId="9" fillId="0" borderId="0" xfId="2" applyNumberFormat="1" applyFont="1" applyAlignment="1">
      <alignment vertical="center"/>
    </xf>
    <xf numFmtId="164" fontId="3" fillId="0" borderId="0" xfId="2" applyNumberFormat="1" applyFont="1" applyAlignment="1">
      <alignment vertical="center"/>
    </xf>
    <xf numFmtId="0" fontId="12" fillId="0" borderId="0" xfId="1" applyAlignment="1">
      <alignment vertical="center"/>
    </xf>
    <xf numFmtId="0" fontId="12" fillId="0" borderId="0" xfId="1" applyAlignment="1">
      <alignment horizontal="left" vertical="center"/>
    </xf>
  </cellXfs>
  <cellStyles count="4">
    <cellStyle name="Hipervínculo" xfId="1" builtinId="8"/>
    <cellStyle name="Normal" xfId="0" builtinId="0"/>
    <cellStyle name="Normal 2" xfId="2" xr:uid="{FC246C72-01C1-A943-A0B0-D4266DEE93C0}"/>
    <cellStyle name="Porcentaje 2" xfId="3" xr:uid="{43D3827D-7BB7-174B-9015-4B5AA96E324B}"/>
  </cellStyles>
  <dxfs count="12">
    <dxf>
      <font>
        <strike val="0"/>
        <outline val="0"/>
        <shadow val="0"/>
        <u val="none"/>
        <vertAlign val="baseline"/>
        <sz val="10"/>
        <name val="Montserrat Regular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ontserrat Regular"/>
        <scheme val="none"/>
      </font>
      <numFmt numFmtId="19" formatCode="dd/mm/yy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ontserrat Regular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ontserrat Regular"/>
        <scheme val="none"/>
      </font>
      <numFmt numFmtId="3" formatCode="#,##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ontserrat Regular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ontserrat Regular"/>
        <scheme val="none"/>
      </font>
      <numFmt numFmtId="165" formatCode="dd/mm/yyyy"/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name val="Montserrat Regular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ontserrat Regular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ontserrat Regular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ontserrat Regular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ontserrat Regular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ontserrat Regular"/>
        <scheme val="none"/>
      </font>
      <fill>
        <patternFill patternType="solid">
          <fgColor indexed="64"/>
          <bgColor rgb="FFE97132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29307</xdr:colOff>
      <xdr:row>0</xdr:row>
      <xdr:rowOff>19539</xdr:rowOff>
    </xdr:from>
    <xdr:ext cx="2120737" cy="533794"/>
    <xdr:pic>
      <xdr:nvPicPr>
        <xdr:cNvPr id="2" name="Imagen 1">
          <a:extLst>
            <a:ext uri="{FF2B5EF4-FFF2-40B4-BE49-F238E27FC236}">
              <a16:creationId xmlns:a16="http://schemas.microsoft.com/office/drawing/2014/main" id="{AA374397-5276-A141-808C-282200D7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07" y="19539"/>
          <a:ext cx="2120737" cy="53379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663DC-189D-D246-B420-C23EBFF44C74}" name="Tabla134567898101112131415161718324542356789101112131415161718192017232425262728456782" displayName="Tabla134567898101112131415161718324542356789101112131415161718192017232425262728456782" ref="A5:J22" totalsRowShown="0" headerRowDxfId="11" dataDxfId="10">
  <autoFilter ref="A5:J22" xr:uid="{05C50D1A-65A9-4D63-9BE8-C0BA2477C5E0}"/>
  <tableColumns count="10">
    <tableColumn id="1" xr3:uid="{202BA321-4523-C741-BA08-DE6106788B92}" name="Cliente" dataDxfId="9"/>
    <tableColumn id="2" xr3:uid="{012632AB-174D-BB42-BC46-249E34938DB0}" name="RUT" dataDxfId="8"/>
    <tableColumn id="3" xr3:uid="{E6D50F5D-DB91-E84F-8758-FE1D9EEAEF73}" name="N° GD" dataDxfId="7"/>
    <tableColumn id="4" xr3:uid="{928808B1-1A79-284F-9C43-194AE99D4ED5}" name="N° Factura" dataDxfId="6"/>
    <tableColumn id="5" xr3:uid="{18892161-386D-5742-8D98-B25E9B593474}" name="Fecha Factura" dataDxfId="5"/>
    <tableColumn id="6" xr3:uid="{64F48E89-07C5-1B49-B8CD-B1F2A7FD1462}" name="N° OC" dataDxfId="4"/>
    <tableColumn id="7" xr3:uid="{F9E45D57-02E0-8244-848C-576D4F1F470C}" name="Monto c/IVA" dataDxfId="3"/>
    <tableColumn id="8" xr3:uid="{2F120052-F613-1B4A-BE13-787BB9E8D51D}" name="Dias" dataDxfId="2"/>
    <tableColumn id="9" xr3:uid="{89B1B0B3-AE0B-374C-B659-CD48D6D723E1}" name="Fecha Cobro" dataDxfId="1">
      <calculatedColumnFormula>+Tabla134567898101112131415161718324542356789101112131415161718192017232425262728456782[[#This Row],[Fecha Factura]]+Tabla134567898101112131415161718324542356789101112131415161718192017232425262728456782[[#This Row],[Dias]]</calculatedColumnFormula>
    </tableColumn>
    <tableColumn id="10" xr3:uid="{9AB94DC3-0E64-A742-B777-7278ADF37356}" name="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espinoza@eimontajes.cl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halvarado@tecnasic.cl" TargetMode="External"/><Relationship Id="rId7" Type="http://schemas.openxmlformats.org/officeDocument/2006/relationships/hyperlink" Target="mailto:pablo.zapata@bice.cl" TargetMode="External"/><Relationship Id="rId12" Type="http://schemas.openxmlformats.org/officeDocument/2006/relationships/hyperlink" Target="mailto:noliva@prefast.cl" TargetMode="External"/><Relationship Id="rId2" Type="http://schemas.openxmlformats.org/officeDocument/2006/relationships/hyperlink" Target="mailto:manuel.torres@besalco.cl" TargetMode="External"/><Relationship Id="rId1" Type="http://schemas.openxmlformats.org/officeDocument/2006/relationships/hyperlink" Target="mailto:factura@servicioavo2.cl" TargetMode="External"/><Relationship Id="rId6" Type="http://schemas.openxmlformats.org/officeDocument/2006/relationships/hyperlink" Target="mailto:yuri.zambrano@ohla-chile.cl" TargetMode="External"/><Relationship Id="rId11" Type="http://schemas.openxmlformats.org/officeDocument/2006/relationships/hyperlink" Target="mailto:facturacion@asap.cl" TargetMode="External"/><Relationship Id="rId5" Type="http://schemas.openxmlformats.org/officeDocument/2006/relationships/hyperlink" Target="mailto:m.lozada@scl-cjv.cl" TargetMode="External"/><Relationship Id="rId10" Type="http://schemas.openxmlformats.org/officeDocument/2006/relationships/hyperlink" Target="mailto:factura@serviciocovi.cl" TargetMode="External"/><Relationship Id="rId4" Type="http://schemas.openxmlformats.org/officeDocument/2006/relationships/hyperlink" Target="mailto:jvargas@syncore.cl" TargetMode="External"/><Relationship Id="rId9" Type="http://schemas.openxmlformats.org/officeDocument/2006/relationships/hyperlink" Target="mailto:facturas@iclevel.cl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9FFB-91A6-1941-9E00-7C5CD15B5A7D}">
  <sheetPr>
    <pageSetUpPr fitToPage="1"/>
  </sheetPr>
  <dimension ref="A1:M45"/>
  <sheetViews>
    <sheetView tabSelected="1" zoomScale="120" zoomScaleNormal="120" workbookViewId="0">
      <selection activeCell="I6" sqref="I6"/>
    </sheetView>
  </sheetViews>
  <sheetFormatPr baseColWidth="10" defaultRowHeight="15"/>
  <cols>
    <col min="1" max="1" width="35.7109375" style="1" customWidth="1"/>
    <col min="2" max="2" width="12.85546875" style="1" customWidth="1"/>
    <col min="3" max="3" width="11.7109375" style="1" bestFit="1" customWidth="1"/>
    <col min="4" max="4" width="10" style="1" customWidth="1"/>
    <col min="5" max="5" width="11.42578125" style="1" customWidth="1"/>
    <col min="6" max="6" width="17.7109375" style="1" bestFit="1" customWidth="1"/>
    <col min="7" max="7" width="12.140625" style="1" customWidth="1"/>
    <col min="8" max="8" width="5.7109375" style="1" customWidth="1"/>
    <col min="9" max="9" width="11.42578125" style="1" customWidth="1"/>
    <col min="10" max="10" width="6.5703125" style="1" bestFit="1" customWidth="1"/>
    <col min="11" max="16384" width="10.7109375" style="1"/>
  </cols>
  <sheetData>
    <row r="1" spans="1:13" ht="45" customHeight="1"/>
    <row r="2" spans="1:13" s="4" customFormat="1" ht="19" customHeight="1">
      <c r="A2" s="2" t="s">
        <v>0</v>
      </c>
      <c r="B2" s="3"/>
      <c r="C2" s="3"/>
      <c r="D2" s="3"/>
      <c r="E2" s="3"/>
      <c r="F2" s="3"/>
      <c r="G2" s="3"/>
      <c r="H2" s="3"/>
      <c r="J2" s="5">
        <v>46104</v>
      </c>
      <c r="M2" s="4" t="s">
        <v>1</v>
      </c>
    </row>
    <row r="3" spans="1:13" s="4" customFormat="1" ht="19" customHeight="1">
      <c r="A3" s="6" t="s">
        <v>2</v>
      </c>
      <c r="B3" s="3"/>
      <c r="C3" s="3"/>
      <c r="D3" s="3"/>
      <c r="E3" s="3"/>
      <c r="F3" s="3"/>
      <c r="G3" s="3"/>
      <c r="H3" s="3"/>
      <c r="I3" s="3"/>
      <c r="M3" s="7">
        <v>0.65</v>
      </c>
    </row>
    <row r="4" spans="1:13" s="4" customFormat="1" ht="19" customHeight="1">
      <c r="A4" s="3"/>
      <c r="B4" s="3"/>
      <c r="C4" s="3"/>
      <c r="D4" s="3"/>
      <c r="E4" s="3"/>
      <c r="F4" s="3"/>
      <c r="G4" s="3"/>
      <c r="H4" s="3"/>
      <c r="I4" s="3"/>
    </row>
    <row r="5" spans="1:13" s="4" customFormat="1" ht="19" customHeight="1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</row>
    <row r="6" spans="1:13" s="4" customFormat="1" ht="19" customHeight="1">
      <c r="A6" s="3" t="s">
        <v>13</v>
      </c>
      <c r="B6" s="9" t="s">
        <v>14</v>
      </c>
      <c r="C6" s="10">
        <v>1967</v>
      </c>
      <c r="D6" s="11">
        <v>1898</v>
      </c>
      <c r="E6" s="12" t="s">
        <v>15</v>
      </c>
      <c r="F6" s="13" t="s">
        <v>16</v>
      </c>
      <c r="G6" s="14">
        <v>826002</v>
      </c>
      <c r="H6" s="10">
        <v>50</v>
      </c>
      <c r="I6" s="12">
        <f>+$J$2+Tabla134567898101112131415161718324542356789101112131415161718192017232425262728456782[[#This Row],[Dias]]</f>
        <v>46154</v>
      </c>
      <c r="J6" s="3">
        <v>1</v>
      </c>
      <c r="M6" s="15">
        <f t="shared" ref="M6:M21" si="0">+G6*$M$3/100*(H6/30)</f>
        <v>8948.3550000000014</v>
      </c>
    </row>
    <row r="7" spans="1:13" s="4" customFormat="1" ht="19" customHeight="1">
      <c r="A7" s="3" t="s">
        <v>17</v>
      </c>
      <c r="B7" s="9" t="s">
        <v>18</v>
      </c>
      <c r="C7" s="10">
        <v>1970</v>
      </c>
      <c r="D7" s="11">
        <v>1899</v>
      </c>
      <c r="E7" s="12" t="s">
        <v>15</v>
      </c>
      <c r="F7" s="13" t="s">
        <v>19</v>
      </c>
      <c r="G7" s="14">
        <v>367662</v>
      </c>
      <c r="H7" s="10">
        <v>35</v>
      </c>
      <c r="I7" s="12">
        <f>+$J$2+Tabla134567898101112131415161718324542356789101112131415161718192017232425262728456782[[#This Row],[Dias]]</f>
        <v>46139</v>
      </c>
      <c r="J7" s="3">
        <v>2</v>
      </c>
      <c r="M7" s="15">
        <f t="shared" si="0"/>
        <v>2788.1035000000006</v>
      </c>
    </row>
    <row r="8" spans="1:13" s="4" customFormat="1" ht="19" customHeight="1">
      <c r="A8" s="3" t="s">
        <v>17</v>
      </c>
      <c r="B8" s="9" t="s">
        <v>18</v>
      </c>
      <c r="C8" s="10">
        <v>1975</v>
      </c>
      <c r="D8" s="11">
        <v>1900</v>
      </c>
      <c r="E8" s="12" t="s">
        <v>15</v>
      </c>
      <c r="F8" s="13" t="s">
        <v>20</v>
      </c>
      <c r="G8" s="14">
        <v>694365</v>
      </c>
      <c r="H8" s="10">
        <v>35</v>
      </c>
      <c r="I8" s="12">
        <f>+$J$2+Tabla134567898101112131415161718324542356789101112131415161718192017232425262728456782[[#This Row],[Dias]]</f>
        <v>46139</v>
      </c>
      <c r="J8" s="3">
        <v>3</v>
      </c>
      <c r="M8" s="15">
        <f t="shared" si="0"/>
        <v>5265.6012500000006</v>
      </c>
    </row>
    <row r="9" spans="1:13" s="4" customFormat="1" ht="19" customHeight="1">
      <c r="A9" s="3" t="s">
        <v>21</v>
      </c>
      <c r="B9" s="9" t="s">
        <v>22</v>
      </c>
      <c r="C9" s="10">
        <v>1980</v>
      </c>
      <c r="D9" s="11">
        <v>1901</v>
      </c>
      <c r="E9" s="12" t="s">
        <v>15</v>
      </c>
      <c r="F9" s="13" t="s">
        <v>23</v>
      </c>
      <c r="G9" s="14">
        <v>13204734</v>
      </c>
      <c r="H9" s="10">
        <v>35</v>
      </c>
      <c r="I9" s="12">
        <f>+$J$2+Tabla134567898101112131415161718324542356789101112131415161718192017232425262728456782[[#This Row],[Dias]]</f>
        <v>46139</v>
      </c>
      <c r="J9" s="3">
        <v>4</v>
      </c>
      <c r="M9" s="15">
        <f t="shared" si="0"/>
        <v>100135.8995</v>
      </c>
    </row>
    <row r="10" spans="1:13" s="4" customFormat="1" ht="19" customHeight="1">
      <c r="A10" s="3" t="s">
        <v>24</v>
      </c>
      <c r="B10" s="9" t="s">
        <v>25</v>
      </c>
      <c r="C10" s="10">
        <v>1984</v>
      </c>
      <c r="D10" s="11">
        <v>1902</v>
      </c>
      <c r="E10" s="12" t="s">
        <v>15</v>
      </c>
      <c r="F10" s="13" t="s">
        <v>26</v>
      </c>
      <c r="G10" s="14">
        <v>392700</v>
      </c>
      <c r="H10" s="10">
        <v>35</v>
      </c>
      <c r="I10" s="12">
        <f>+$J$2+Tabla134567898101112131415161718324542356789101112131415161718192017232425262728456782[[#This Row],[Dias]]</f>
        <v>46139</v>
      </c>
      <c r="J10" s="3">
        <v>5</v>
      </c>
      <c r="M10" s="15">
        <f t="shared" si="0"/>
        <v>2977.9750000000004</v>
      </c>
    </row>
    <row r="11" spans="1:13" s="4" customFormat="1" ht="19" customHeight="1">
      <c r="A11" s="3" t="s">
        <v>21</v>
      </c>
      <c r="B11" s="9" t="s">
        <v>22</v>
      </c>
      <c r="C11" s="10">
        <v>1985</v>
      </c>
      <c r="D11" s="11">
        <v>1903</v>
      </c>
      <c r="E11" s="12" t="s">
        <v>15</v>
      </c>
      <c r="F11" s="13" t="s">
        <v>27</v>
      </c>
      <c r="G11" s="14">
        <v>660093</v>
      </c>
      <c r="H11" s="10">
        <v>35</v>
      </c>
      <c r="I11" s="12">
        <f>+$J$2+Tabla134567898101112131415161718324542356789101112131415161718192017232425262728456782[[#This Row],[Dias]]</f>
        <v>46139</v>
      </c>
      <c r="J11" s="3">
        <v>6</v>
      </c>
      <c r="M11" s="15">
        <f t="shared" si="0"/>
        <v>5005.7052500000009</v>
      </c>
    </row>
    <row r="12" spans="1:13" s="4" customFormat="1" ht="19" customHeight="1">
      <c r="A12" s="3" t="s">
        <v>13</v>
      </c>
      <c r="B12" s="9" t="s">
        <v>14</v>
      </c>
      <c r="C12" s="10">
        <v>1960</v>
      </c>
      <c r="D12" s="11">
        <v>1905</v>
      </c>
      <c r="E12" s="12" t="s">
        <v>15</v>
      </c>
      <c r="F12" s="13" t="s">
        <v>28</v>
      </c>
      <c r="G12" s="14">
        <v>384265</v>
      </c>
      <c r="H12" s="10">
        <v>50</v>
      </c>
      <c r="I12" s="12">
        <f>+$J$2+Tabla134567898101112131415161718324542356789101112131415161718192017232425262728456782[[#This Row],[Dias]]</f>
        <v>46154</v>
      </c>
      <c r="J12" s="3">
        <v>7</v>
      </c>
      <c r="M12" s="15">
        <f t="shared" si="0"/>
        <v>4162.8708333333334</v>
      </c>
    </row>
    <row r="13" spans="1:13" s="4" customFormat="1" ht="19" customHeight="1">
      <c r="A13" s="3" t="s">
        <v>13</v>
      </c>
      <c r="B13" s="9" t="s">
        <v>14</v>
      </c>
      <c r="C13" s="10">
        <v>1972</v>
      </c>
      <c r="D13" s="11">
        <v>1906</v>
      </c>
      <c r="E13" s="16" t="s">
        <v>15</v>
      </c>
      <c r="F13" s="13" t="s">
        <v>28</v>
      </c>
      <c r="G13" s="14">
        <v>253618</v>
      </c>
      <c r="H13" s="10">
        <v>50</v>
      </c>
      <c r="I13" s="12">
        <f>+$J$2+Tabla134567898101112131415161718324542356789101112131415161718192017232425262728456782[[#This Row],[Dias]]</f>
        <v>46154</v>
      </c>
      <c r="J13" s="3">
        <v>8</v>
      </c>
      <c r="M13" s="15">
        <f t="shared" si="0"/>
        <v>2747.5283333333336</v>
      </c>
    </row>
    <row r="14" spans="1:13" s="4" customFormat="1" ht="19" customHeight="1">
      <c r="A14" s="3" t="s">
        <v>21</v>
      </c>
      <c r="B14" s="9" t="s">
        <v>22</v>
      </c>
      <c r="C14" s="10">
        <v>1988</v>
      </c>
      <c r="D14" s="11">
        <v>1907</v>
      </c>
      <c r="E14" s="16" t="s">
        <v>15</v>
      </c>
      <c r="F14" s="13" t="s">
        <v>29</v>
      </c>
      <c r="G14" s="14">
        <v>2261000</v>
      </c>
      <c r="H14" s="10">
        <v>35</v>
      </c>
      <c r="I14" s="12">
        <f>+$J$2+Tabla134567898101112131415161718324542356789101112131415161718192017232425262728456782[[#This Row],[Dias]]</f>
        <v>46139</v>
      </c>
      <c r="J14" s="3">
        <v>9</v>
      </c>
      <c r="M14" s="15">
        <f t="shared" si="0"/>
        <v>17145.916666666668</v>
      </c>
    </row>
    <row r="15" spans="1:13" s="4" customFormat="1" ht="19" customHeight="1">
      <c r="A15" s="3" t="s">
        <v>30</v>
      </c>
      <c r="B15" s="9" t="s">
        <v>31</v>
      </c>
      <c r="C15" s="13" t="s">
        <v>32</v>
      </c>
      <c r="D15" s="11">
        <v>1910</v>
      </c>
      <c r="E15" s="16" t="s">
        <v>33</v>
      </c>
      <c r="F15" s="13" t="s">
        <v>34</v>
      </c>
      <c r="G15" s="14">
        <v>6360520</v>
      </c>
      <c r="H15" s="10">
        <v>35</v>
      </c>
      <c r="I15" s="12">
        <f>+$J$2+Tabla134567898101112131415161718324542356789101112131415161718192017232425262728456782[[#This Row],[Dias]]</f>
        <v>46139</v>
      </c>
      <c r="J15" s="3">
        <v>10</v>
      </c>
      <c r="M15" s="15">
        <f t="shared" si="0"/>
        <v>48233.943333333336</v>
      </c>
    </row>
    <row r="16" spans="1:13" s="4" customFormat="1" ht="19" customHeight="1">
      <c r="A16" s="3" t="s">
        <v>13</v>
      </c>
      <c r="B16" s="9" t="s">
        <v>14</v>
      </c>
      <c r="C16" s="10">
        <v>1989</v>
      </c>
      <c r="D16" s="11">
        <v>1913</v>
      </c>
      <c r="E16" s="16" t="s">
        <v>35</v>
      </c>
      <c r="F16" s="13" t="s">
        <v>36</v>
      </c>
      <c r="G16" s="14">
        <v>223482</v>
      </c>
      <c r="H16" s="10">
        <v>50</v>
      </c>
      <c r="I16" s="12">
        <f>+$J$2+Tabla134567898101112131415161718324542356789101112131415161718192017232425262728456782[[#This Row],[Dias]]</f>
        <v>46154</v>
      </c>
      <c r="J16" s="3">
        <v>11</v>
      </c>
      <c r="M16" s="15">
        <f t="shared" si="0"/>
        <v>2421.0550000000007</v>
      </c>
    </row>
    <row r="17" spans="1:13" s="4" customFormat="1" ht="19" customHeight="1">
      <c r="A17" s="3" t="s">
        <v>13</v>
      </c>
      <c r="B17" s="9" t="s">
        <v>14</v>
      </c>
      <c r="C17" s="13">
        <v>1981</v>
      </c>
      <c r="D17" s="11">
        <v>1914</v>
      </c>
      <c r="E17" s="12" t="s">
        <v>35</v>
      </c>
      <c r="F17" s="13" t="s">
        <v>37</v>
      </c>
      <c r="G17" s="14">
        <v>9496367</v>
      </c>
      <c r="H17" s="10">
        <v>50</v>
      </c>
      <c r="I17" s="12">
        <f>+$J$2+Tabla134567898101112131415161718324542356789101112131415161718192017232425262728456782[[#This Row],[Dias]]</f>
        <v>46154</v>
      </c>
      <c r="J17" s="3">
        <v>12</v>
      </c>
      <c r="M17" s="15">
        <f t="shared" si="0"/>
        <v>102877.30916666666</v>
      </c>
    </row>
    <row r="18" spans="1:13" s="4" customFormat="1" ht="19" customHeight="1">
      <c r="A18" s="3" t="s">
        <v>13</v>
      </c>
      <c r="B18" s="9" t="s">
        <v>14</v>
      </c>
      <c r="C18" s="10">
        <v>1987</v>
      </c>
      <c r="D18" s="11">
        <v>1915</v>
      </c>
      <c r="E18" s="16" t="s">
        <v>35</v>
      </c>
      <c r="F18" s="13" t="s">
        <v>38</v>
      </c>
      <c r="G18" s="14">
        <v>1246654</v>
      </c>
      <c r="H18" s="10">
        <v>50</v>
      </c>
      <c r="I18" s="12">
        <v>46154</v>
      </c>
      <c r="J18" s="3">
        <v>13</v>
      </c>
      <c r="M18" s="15">
        <f t="shared" si="0"/>
        <v>13505.418333333335</v>
      </c>
    </row>
    <row r="19" spans="1:13" s="4" customFormat="1" ht="19" customHeight="1">
      <c r="A19" s="3" t="s">
        <v>13</v>
      </c>
      <c r="B19" s="9" t="s">
        <v>14</v>
      </c>
      <c r="C19" s="10">
        <v>1990</v>
      </c>
      <c r="D19" s="11">
        <v>1916</v>
      </c>
      <c r="E19" s="16" t="s">
        <v>35</v>
      </c>
      <c r="F19" s="13" t="s">
        <v>39</v>
      </c>
      <c r="G19" s="14">
        <v>2326069</v>
      </c>
      <c r="H19" s="10">
        <v>50</v>
      </c>
      <c r="I19" s="12">
        <v>46154</v>
      </c>
      <c r="J19" s="3">
        <v>14</v>
      </c>
      <c r="M19" s="15">
        <f t="shared" si="0"/>
        <v>25199.080833333333</v>
      </c>
    </row>
    <row r="20" spans="1:13" s="4" customFormat="1" ht="19" customHeight="1">
      <c r="A20" s="3" t="s">
        <v>13</v>
      </c>
      <c r="B20" s="9" t="s">
        <v>14</v>
      </c>
      <c r="C20" s="10">
        <v>1993</v>
      </c>
      <c r="D20" s="11">
        <v>1917</v>
      </c>
      <c r="E20" s="16" t="s">
        <v>35</v>
      </c>
      <c r="F20" s="13" t="s">
        <v>40</v>
      </c>
      <c r="G20" s="14">
        <v>4071514</v>
      </c>
      <c r="H20" s="10">
        <v>50</v>
      </c>
      <c r="I20" s="12">
        <f>+Tabla134567898101112131415161718324542356789101112131415161718192017232425262728456782[[#This Row],[Fecha Factura]]+Tabla134567898101112131415161718324542356789101112131415161718192017232425262728456782[[#This Row],[Dias]]</f>
        <v>46154</v>
      </c>
      <c r="J20" s="3">
        <v>15</v>
      </c>
      <c r="M20" s="15">
        <f t="shared" si="0"/>
        <v>44108.068333333336</v>
      </c>
    </row>
    <row r="21" spans="1:13" s="4" customFormat="1" ht="19" customHeight="1">
      <c r="A21" s="3" t="s">
        <v>13</v>
      </c>
      <c r="B21" s="9" t="s">
        <v>14</v>
      </c>
      <c r="C21" s="10">
        <v>1994</v>
      </c>
      <c r="D21" s="11">
        <v>1918</v>
      </c>
      <c r="E21" s="16" t="s">
        <v>35</v>
      </c>
      <c r="F21" s="13" t="s">
        <v>40</v>
      </c>
      <c r="G21" s="14">
        <v>1116791</v>
      </c>
      <c r="H21" s="10">
        <v>50</v>
      </c>
      <c r="I21" s="12">
        <f>+Tabla134567898101112131415161718324542356789101112131415161718192017232425262728456782[[#This Row],[Fecha Factura]]+Tabla134567898101112131415161718324542356789101112131415161718192017232425262728456782[[#This Row],[Dias]]</f>
        <v>46154</v>
      </c>
      <c r="J21" s="3">
        <v>16</v>
      </c>
      <c r="M21" s="15">
        <f t="shared" si="0"/>
        <v>12098.569166666668</v>
      </c>
    </row>
    <row r="22" spans="1:13" s="4" customFormat="1" ht="19" customHeight="1">
      <c r="A22" s="10"/>
      <c r="B22" s="9"/>
      <c r="C22" s="10"/>
      <c r="D22" s="17"/>
      <c r="E22" s="16"/>
      <c r="F22" s="13"/>
      <c r="G22" s="18"/>
      <c r="H22" s="10"/>
      <c r="I22" s="12"/>
      <c r="J22" s="3"/>
      <c r="M22" s="15"/>
    </row>
    <row r="23" spans="1:13" s="4" customFormat="1" ht="19" customHeight="1">
      <c r="A23" s="10"/>
      <c r="B23" s="9"/>
      <c r="C23" s="10"/>
      <c r="D23" s="19"/>
      <c r="E23" s="12"/>
      <c r="F23" s="13"/>
      <c r="G23" s="18"/>
      <c r="H23" s="10"/>
      <c r="I23" s="12"/>
      <c r="J23" s="3"/>
    </row>
    <row r="24" spans="1:13" s="4" customFormat="1" ht="19" customHeight="1">
      <c r="A24" s="3"/>
      <c r="B24" s="3"/>
      <c r="C24" s="3"/>
      <c r="D24" s="3"/>
      <c r="E24" s="3"/>
      <c r="F24" s="3"/>
      <c r="G24" s="3"/>
      <c r="H24" s="3"/>
      <c r="I24" s="20"/>
      <c r="M24" s="15">
        <f>+SUM(M6:M23)</f>
        <v>397621.39949999994</v>
      </c>
    </row>
    <row r="25" spans="1:13" s="4" customFormat="1" ht="19" customHeight="1">
      <c r="E25" s="3"/>
      <c r="F25" s="21" t="s">
        <v>41</v>
      </c>
      <c r="G25" s="22">
        <f>+SUM(G6:G24)</f>
        <v>43885836</v>
      </c>
      <c r="H25" s="3"/>
      <c r="I25" s="23">
        <f>+MAX(Tabla134567898101112131415161718324542356789101112131415161718192017232425262728456782[Fecha Cobro])</f>
        <v>46154</v>
      </c>
    </row>
    <row r="26" spans="1:13" s="4" customFormat="1" ht="19" customHeight="1">
      <c r="B26" s="24"/>
      <c r="C26" s="25"/>
      <c r="D26" s="26"/>
      <c r="E26" s="3"/>
      <c r="F26" s="3"/>
      <c r="G26" s="3"/>
      <c r="H26" s="3"/>
      <c r="I26" s="23"/>
    </row>
    <row r="27" spans="1:13" s="4" customFormat="1" ht="19" customHeight="1">
      <c r="B27" s="24"/>
      <c r="C27" s="25"/>
      <c r="D27" s="26"/>
      <c r="E27" s="3"/>
      <c r="F27" s="3" t="s">
        <v>42</v>
      </c>
      <c r="G27" s="27">
        <v>397621.39949999994</v>
      </c>
      <c r="H27" s="28">
        <f>+G27/G25</f>
        <v>9.0603583238108975E-3</v>
      </c>
      <c r="I27" s="20"/>
    </row>
    <row r="28" spans="1:13" s="4" customFormat="1" ht="19" customHeight="1">
      <c r="B28" s="24"/>
      <c r="C28" s="25"/>
      <c r="D28" s="26"/>
      <c r="E28" s="3"/>
      <c r="F28" s="29" t="s">
        <v>43</v>
      </c>
      <c r="G28" s="30"/>
      <c r="H28" s="3"/>
      <c r="I28" s="23"/>
    </row>
    <row r="29" spans="1:13" s="4" customFormat="1" ht="19" customHeight="1">
      <c r="B29" s="24"/>
      <c r="C29" s="25"/>
      <c r="D29" s="26"/>
      <c r="E29" s="3"/>
      <c r="F29" s="3" t="s">
        <v>44</v>
      </c>
      <c r="G29" s="27">
        <v>94823</v>
      </c>
      <c r="H29" s="3"/>
      <c r="I29" s="20"/>
    </row>
    <row r="30" spans="1:13" s="4" customFormat="1" ht="19" customHeight="1">
      <c r="B30" s="24"/>
      <c r="C30" s="25"/>
      <c r="D30" s="26"/>
      <c r="E30" s="9"/>
      <c r="F30" s="3" t="s">
        <v>45</v>
      </c>
      <c r="G30" s="27"/>
      <c r="H30" s="3"/>
    </row>
    <row r="31" spans="1:13" s="4" customFormat="1" ht="19" customHeight="1">
      <c r="B31" s="24"/>
      <c r="C31" s="25"/>
      <c r="D31" s="26"/>
      <c r="E31" s="3"/>
      <c r="F31" s="17" t="s">
        <v>46</v>
      </c>
      <c r="G31" s="31">
        <f>+G25-SUM(G27:G30)</f>
        <v>43393391.600500003</v>
      </c>
      <c r="H31" s="3"/>
    </row>
    <row r="32" spans="1:13" s="4" customFormat="1" ht="19" customHeight="1">
      <c r="B32" s="24"/>
      <c r="C32" s="25"/>
      <c r="D32" s="32"/>
      <c r="E32" s="3"/>
      <c r="F32" s="3"/>
      <c r="G32" s="33">
        <f>+G31-G25</f>
        <v>-492444.3994999975</v>
      </c>
      <c r="H32" s="28">
        <f>-G32/G25</f>
        <v>1.1221032669857252E-2</v>
      </c>
    </row>
    <row r="33" spans="1:10" s="4" customFormat="1" ht="19" customHeight="1">
      <c r="B33" s="24"/>
      <c r="C33" s="25"/>
      <c r="D33" s="32"/>
      <c r="E33" s="3"/>
      <c r="F33" s="3"/>
      <c r="G33" s="33"/>
      <c r="H33" s="28"/>
    </row>
    <row r="34" spans="1:10">
      <c r="A34" s="34" t="s">
        <v>47</v>
      </c>
      <c r="B34" s="24"/>
      <c r="C34" s="25"/>
      <c r="D34" s="32"/>
      <c r="E34" s="3"/>
      <c r="F34" s="3"/>
      <c r="G34" s="33"/>
      <c r="H34" s="28"/>
      <c r="I34" s="4"/>
      <c r="J34" s="4"/>
    </row>
    <row r="35" spans="1:10">
      <c r="A35" s="34" t="s">
        <v>48</v>
      </c>
      <c r="B35" s="24"/>
      <c r="C35" s="25"/>
      <c r="D35" s="32"/>
      <c r="E35" s="3"/>
      <c r="F35" s="3"/>
      <c r="G35" s="33"/>
      <c r="I35" s="33"/>
    </row>
    <row r="36" spans="1:10">
      <c r="A36" s="34" t="s">
        <v>49</v>
      </c>
      <c r="B36" s="24"/>
      <c r="C36" s="25"/>
      <c r="D36" s="32"/>
      <c r="E36" s="3"/>
      <c r="F36" s="3"/>
      <c r="G36" s="33"/>
    </row>
    <row r="37" spans="1:10">
      <c r="A37" s="34" t="s">
        <v>50</v>
      </c>
      <c r="B37" s="24"/>
      <c r="C37" s="25"/>
      <c r="D37" s="32"/>
      <c r="E37" s="3"/>
      <c r="F37" s="3"/>
      <c r="G37" s="33"/>
    </row>
    <row r="38" spans="1:10">
      <c r="A38" s="35" t="s">
        <v>51</v>
      </c>
      <c r="B38" s="24"/>
      <c r="C38" s="25"/>
      <c r="D38" s="32"/>
      <c r="E38" s="3"/>
      <c r="F38" s="3"/>
      <c r="G38" s="33"/>
    </row>
    <row r="39" spans="1:10">
      <c r="A39" s="34" t="s">
        <v>52</v>
      </c>
      <c r="B39" s="24"/>
      <c r="C39" s="25"/>
      <c r="D39" s="32"/>
      <c r="E39" s="3"/>
      <c r="F39" s="3"/>
      <c r="G39" s="33"/>
    </row>
    <row r="40" spans="1:10">
      <c r="A40" s="34" t="s">
        <v>53</v>
      </c>
      <c r="B40" s="24"/>
      <c r="C40" s="25"/>
      <c r="D40" s="32"/>
      <c r="E40" s="3"/>
      <c r="F40" s="3"/>
      <c r="G40" s="33"/>
    </row>
    <row r="41" spans="1:10">
      <c r="A41" s="34" t="s">
        <v>54</v>
      </c>
      <c r="C41" s="25"/>
    </row>
    <row r="42" spans="1:10">
      <c r="A42" s="34" t="s">
        <v>55</v>
      </c>
      <c r="C42" s="25"/>
    </row>
    <row r="43" spans="1:10">
      <c r="A43" s="34" t="s">
        <v>56</v>
      </c>
      <c r="C43" s="25"/>
    </row>
    <row r="44" spans="1:10">
      <c r="A44" s="34" t="s">
        <v>57</v>
      </c>
      <c r="C44" s="25"/>
    </row>
    <row r="45" spans="1:10">
      <c r="A45" s="34"/>
      <c r="C45" s="25"/>
    </row>
  </sheetData>
  <hyperlinks>
    <hyperlink ref="A34" r:id="rId1" xr:uid="{11A5DFE5-E932-0649-AA26-91BC0721BB73}"/>
    <hyperlink ref="A35" r:id="rId2" xr:uid="{C107DF71-1396-D44B-9DD9-35D9396674C2}"/>
    <hyperlink ref="A36" r:id="rId3" xr:uid="{6114602F-8058-F04F-8886-9A04079A80DE}"/>
    <hyperlink ref="A37" r:id="rId4" xr:uid="{724F2001-2B9D-E74E-B46E-038D825F51A4}"/>
    <hyperlink ref="A38" r:id="rId5" xr:uid="{63ED78E7-A617-9342-BFC2-EA7E21503034}"/>
    <hyperlink ref="A39" r:id="rId6" xr:uid="{0B9026A5-66A6-3D45-B931-A063BDC80E65}"/>
    <hyperlink ref="A45" r:id="rId7" display="pablo.zapata@bice.cl" xr:uid="{5791C5F2-C959-2E44-A746-BBC0ADB98641}"/>
    <hyperlink ref="A40" r:id="rId8" xr:uid="{946A0E1B-5B08-2E40-993E-695FD09C8D20}"/>
    <hyperlink ref="A41" r:id="rId9" xr:uid="{4871D134-91C1-7742-A00E-7A99BDBF366F}"/>
    <hyperlink ref="A42" r:id="rId10" xr:uid="{386C011B-093D-D04C-BD82-9D9090AFCDB9}"/>
    <hyperlink ref="A43" r:id="rId11" xr:uid="{5056FFFF-DAEE-0247-A8CB-608273918A91}"/>
    <hyperlink ref="A44" r:id="rId12" xr:uid="{9B655391-7910-8047-B9A0-BE237C3EDCC4}"/>
  </hyperlinks>
  <pageMargins left="0.7" right="0.7" top="0.75" bottom="0.75" header="0.3" footer="0.3"/>
  <pageSetup scale="70" orientation="landscape" horizontalDpi="0" verticalDpi="0"/>
  <headerFooter>
    <oddFooter>&amp;R&amp;K000000&amp;P de &amp;N</oddFooter>
  </headerFooter>
  <drawing r:id="rId1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Mar26-3</vt:lpstr>
      <vt:lpstr>'Mar26-3'!Área_de_impresión</vt:lpstr>
      <vt:lpstr>'Mar26-3'!Títulos_a_imprimir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Sepúlveda Iturra</dc:creator>
  <cp:lastModifiedBy>Gonzalo Sepúlveda Iturra</cp:lastModifiedBy>
  <dcterms:created xsi:type="dcterms:W3CDTF">2026-03-23T22:17:56Z</dcterms:created>
  <dcterms:modified xsi:type="dcterms:W3CDTF">2026-03-23T22:26:44Z</dcterms:modified>
</cp:coreProperties>
</file>